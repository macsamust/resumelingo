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Users/cjowens/Downloads/"/>
    </mc:Choice>
  </mc:AlternateContent>
  <xr:revisionPtr revIDLastSave="0" documentId="11_A7F51769DB0953C101EEF37DD0A0AA85A94A657E" xr6:coauthVersionLast="47" xr6:coauthVersionMax="47" xr10:uidLastSave="{00000000-0000-0000-0000-000000000000}"/>
  <bookViews>
    <workbookView xWindow="31680" yWindow="-1260" windowWidth="35240" windowHeight="19760" tabRatio="500" activeTab="1" xr2:uid="{00000000-000D-0000-FFFF-FFFF00000000}"/>
  </bookViews>
  <sheets>
    <sheet name="Read Me" sheetId="1" r:id="rId1"/>
    <sheet name="Summary" sheetId="2" r:id="rId2"/>
    <sheet name="Test Cases" sheetId="3" r:id="rId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 i="2" l="1"/>
  <c r="C9" i="2"/>
  <c r="B9" i="2"/>
  <c r="E9" i="2" s="1"/>
  <c r="D8" i="2"/>
  <c r="C8" i="2"/>
  <c r="B8" i="2"/>
  <c r="E8" i="2" s="1"/>
  <c r="D7" i="2"/>
  <c r="C7" i="2"/>
  <c r="B7" i="2"/>
  <c r="E7" i="2" s="1"/>
  <c r="D6" i="2"/>
  <c r="C6" i="2"/>
  <c r="B6" i="2"/>
  <c r="E6" i="2" s="1"/>
  <c r="D5" i="2"/>
  <c r="C5" i="2"/>
  <c r="B5" i="2"/>
  <c r="E5" i="2" s="1"/>
  <c r="D4" i="2"/>
  <c r="D10" i="2" s="1"/>
  <c r="C4" i="2"/>
  <c r="C10" i="2" s="1"/>
  <c r="B12" i="2" s="1"/>
  <c r="B4" i="2"/>
  <c r="E4" i="2" l="1"/>
  <c r="E10" i="2" s="1"/>
  <c r="B10" i="2"/>
</calcChain>
</file>

<file path=xl/sharedStrings.xml><?xml version="1.0" encoding="utf-8"?>
<sst xmlns="http://schemas.openxmlformats.org/spreadsheetml/2006/main" count="393" uniqueCount="275">
  <si>
    <t>ResumeLingo — Subscriber-Facing Test Plan</t>
  </si>
  <si>
    <t>For manual QA testing of the live subscriber experience at https://resumelingo.legumes-postage-9k.workers.dev</t>
  </si>
  <si>
    <t>Scope</t>
  </si>
  <si>
    <t>This plan covers the subscriber-facing product only: account creation and login, the resume builder, resume editing, sharing/public links, the dashboard, and subscription billing. It does not cover the admin console.</t>
  </si>
  <si>
    <t>How to use this workbook</t>
  </si>
  <si>
    <t>1. Open the "Test Cases" tab. Each row is one test case with numbered steps and an expected result.</t>
  </si>
  <si>
    <t>2. Work through cases in order within each section — later cases sometimes assume an earlier one already set something up (e.g. a resume needs to exist before you can test sharing it).</t>
  </si>
  <si>
    <t>3. For each case, fill in the "Result" column using the dropdown (Pass / Fail / Blocked / Not Tested) and add detail in "Notes / Bug Description" for anything that isn't a clean Pass.</t>
  </si>
  <si>
    <t>4. The "Summary" tab totals your results automatically as you fill in the Result column — no need to touch it.</t>
  </si>
  <si>
    <t>Test accounts you'll need</t>
  </si>
  <si>
    <t>Sign up fresh accounts rather than reusing one across tiers, since tier is tied to the account: one Starter-tier account (the default after signup, no upgrade needed), and one account you'll upgrade to Professional and then Premium during Section F.</t>
  </si>
  <si>
    <t>IMPORTANT — Billing tests can use real money unless test mode is confirmed</t>
  </si>
  <si>
    <t>Before running Section F (Subscription &amp; Billing), confirm with the developer whether Stripe is currently in LIVE mode or TEST mode. If LIVE, any checkout you complete charges a real card. Either request Stripe test-mode credentials/test card numbers (e.g. 4242 4242 4242 4242) for this pass, or use a real card and cancel/refund immediately afterward via the Billing Portal. Do not guess — confirm this before Section F.</t>
  </si>
  <si>
    <t>Reporting issues</t>
  </si>
  <si>
    <t>For anything marked Fail or Blocked, capture: exact steps, expected vs. actual behavior, a screenshot if visual, and the browser/device used.</t>
  </si>
  <si>
    <t>Column legend (Test Cases tab)</t>
  </si>
  <si>
    <t>• Test ID: Unique case identifier, grouped by section prefix (e.g. ACC-01).</t>
  </si>
  <si>
    <t>• Section: Which part of the app this case belongs to.</t>
  </si>
  <si>
    <t>• Tier Required: Minimum subscription tier needed to run this case. "Any" means every tier.</t>
  </si>
  <si>
    <t>• Test Case: Short name for the scenario being tested.</t>
  </si>
  <si>
    <t>• Preconditions: What needs to already be true before you start.</t>
  </si>
  <si>
    <t>• Steps: Numbered actions to perform, in order.</t>
  </si>
  <si>
    <t>• Expected Result: What should happen if the feature works correctly.</t>
  </si>
  <si>
    <t>• Result — EDIT THIS: Pick Pass / Fail / Blocked / Not Tested from the dropdown.</t>
  </si>
  <si>
    <t>• Notes / Bug Description — EDIT THIS: Free text — required for anything other than Pass.</t>
  </si>
  <si>
    <t>Example of filled-in rows</t>
  </si>
  <si>
    <t>ACC-01 | Result: Pass | Notes: Worked as expected, confirmation reached inbox within 10 seconds.</t>
  </si>
  <si>
    <t>ACC-03 | Result: Fail | Notes: A blank error page appeared instead of a validation message when submitting an already-registered email. Chrome on macOS 15.</t>
  </si>
  <si>
    <t>ResumeLingo Test Plan — Results Summary</t>
  </si>
  <si>
    <t>Section</t>
  </si>
  <si>
    <t>Total Cases</t>
  </si>
  <si>
    <t>Passed</t>
  </si>
  <si>
    <t>Failed</t>
  </si>
  <si>
    <t>Not Tested / Blocked</t>
  </si>
  <si>
    <t>Account &amp; Authentication</t>
  </si>
  <si>
    <t>Resume Builder — Creating a New Resume</t>
  </si>
  <si>
    <t>Resume Builder — Editing a Resume</t>
  </si>
  <si>
    <t>Sharing &amp; Public Resume View</t>
  </si>
  <si>
    <t>Dashboard</t>
  </si>
  <si>
    <t>Subscription &amp; Billing</t>
  </si>
  <si>
    <t>TOTAL</t>
  </si>
  <si>
    <t>Pass rate (of tested cases)</t>
  </si>
  <si>
    <t>Test ID</t>
  </si>
  <si>
    <t>Tier Required</t>
  </si>
  <si>
    <t>Test Case</t>
  </si>
  <si>
    <t>Preconditions</t>
  </si>
  <si>
    <t>Steps</t>
  </si>
  <si>
    <t>Expected Result</t>
  </si>
  <si>
    <t>Result</t>
  </si>
  <si>
    <t>Notes / Bug Description</t>
  </si>
  <si>
    <t>ACC-01</t>
  </si>
  <si>
    <t>Any</t>
  </si>
  <si>
    <t>Sign up with valid details</t>
  </si>
  <si>
    <t>None — use a brand-new email address.</t>
  </si>
  <si>
    <t>1. Go to the signup page.
2. Enter a name, a new email address, a password, and select a profession.
3. Submit the form.</t>
  </si>
  <si>
    <t>Account is created, you're logged in automatically, and redirected to the Dashboard. The greeting reads "Welcome, {first name}" (not "Welcome back").</t>
  </si>
  <si>
    <t>Pass</t>
  </si>
  <si>
    <t>Signup reached dashboard with welcome message.</t>
  </si>
  <si>
    <t>ACC-02</t>
  </si>
  <si>
    <t>Sign up with an already-registered email</t>
  </si>
  <si>
    <t>An account already exists for the email you'll try.</t>
  </si>
  <si>
    <t>1. Go to the signup page.
2. Enter the existing account's email with any password.
3. Submit.</t>
  </si>
  <si>
    <t>A clear inline error explains the email is already registered. No account is created or duplicated.</t>
  </si>
  <si>
    <t>Duplicate email showed clear error; no duplicate created.</t>
  </si>
  <si>
    <t>ACC-03</t>
  </si>
  <si>
    <t>Sign up with a weak/missing password</t>
  </si>
  <si>
    <t>None.</t>
  </si>
  <si>
    <t>1. Go to the signup page.
2. Leave the password blank, or enter something clearly too short.
3. Submit.</t>
  </si>
  <si>
    <t>A validation error appears before/instead of a server error; no account is created.</t>
  </si>
  <si>
    <t>Weak password rejected with minimum-length validation.</t>
  </si>
  <si>
    <t>ACC-04</t>
  </si>
  <si>
    <t>Log out and log back in</t>
  </si>
  <si>
    <t>You have an existing account.</t>
  </si>
  <si>
    <t>1. While logged in, log out.
2. Confirm you land on a logged-out page (e.g. login or landing).
3. Log back in with the same email/password.</t>
  </si>
  <si>
    <t>Logout clears your session (protected pages redirect to login if visited directly). Login succeeds and returns you to the Dashboard with "Welcome back, {first name}".</t>
  </si>
  <si>
    <t>Recheck: logout and relogin succeeded with current password TestyFormal0907Reset!.</t>
  </si>
  <si>
    <t>ACC-05</t>
  </si>
  <si>
    <t>Log in with wrong password</t>
  </si>
  <si>
    <t>1. Go to the login page.
2. Enter your correct email with an incorrect password.
3. Submit.</t>
  </si>
  <si>
    <t>A generic "invalid email or password" style error appears — it should not reveal whether the email exists or not.</t>
  </si>
  <si>
    <t>Wrong password produced generic error.</t>
  </si>
  <si>
    <t>ACC-06</t>
  </si>
  <si>
    <t>Password reset — request the email</t>
  </si>
  <si>
    <t>You have an existing account and access to its inbox.</t>
  </si>
  <si>
    <t>1. From the login page, click "Forgot password."
2. Enter your account's email.
3. Submit.</t>
  </si>
  <si>
    <t>A generic confirmation message appears (regardless of whether the email exists, for privacy). A reset email arrives shortly after, if the account exists.</t>
  </si>
  <si>
    <t>Reset request confirmed; Mailinator email received.</t>
  </si>
  <si>
    <t>ACC-07</t>
  </si>
  <si>
    <t>Password reset — complete the flow</t>
  </si>
  <si>
    <t>You've requested a reset email per the previous case and have the link.</t>
  </si>
  <si>
    <t>1. Open the reset email and click its link.
2. Enter a new password and submit.
3. Try logging in with the OLD password.
4. Try logging in with the NEW password.</t>
  </si>
  <si>
    <t>Setting the new password succeeds. Logging in with the old password fails afterward. Logging in with the new password succeeds.</t>
  </si>
  <si>
    <t>Reset completed; old password failed; new password logged in.</t>
  </si>
  <si>
    <t>ACC-08</t>
  </si>
  <si>
    <t>Password reset link — reuse after use</t>
  </si>
  <si>
    <t>You've already completed a reset using a specific link (previous case).</t>
  </si>
  <si>
    <t>1. Open the same reset email again and click the same link a second time.
2. Try to set another new password.</t>
  </si>
  <si>
    <t>The link is rejected as expired/already used — it cannot be used twice.</t>
  </si>
  <si>
    <t>Reused reset link rejected as invalid/expired.</t>
  </si>
  <si>
    <t>ACC-09</t>
  </si>
  <si>
    <t>View and edit profile</t>
  </si>
  <si>
    <t>You're logged in.</t>
  </si>
  <si>
    <t>1. Go to the Profile page.
2. Change your name and/or profession.
3. Save.</t>
  </si>
  <si>
    <t>Changes save successfully and are reflected immediately (e.g. dashboard greeting uses the updated name).</t>
  </si>
  <si>
    <t>Updated name to Testy Formal Updated and profession to Project Manager; persisted after reload.</t>
  </si>
  <si>
    <t>NEW-01</t>
  </si>
  <si>
    <t>Create a resume — happy path</t>
  </si>
  <si>
    <t>You're logged in, under your plan's resume limit.</t>
  </si>
  <si>
    <t>1. Click "New Resume."
2. Select a profession (e.g. Software Engineer).
3. Fill in contact info, resume title, answer the profession-specific questions, add at least one work experience and one education entry.
4. Select a template available on your tier.
5. Submit to generate the resume.</t>
  </si>
  <si>
    <t>The resume is created successfully and you land on a page showing the generated summary and bullets in the selected template. It appears on your Dashboard afterward.</t>
  </si>
  <si>
    <t>Software Engineer resume created; generated summary in Summary &amp; Bullets.</t>
  </si>
  <si>
    <t>NEW-02</t>
  </si>
  <si>
    <t>Profession selection changes the question set</t>
  </si>
  <si>
    <t>You're on the New Resume form.</t>
  </si>
  <si>
    <t>1. Select "Software Engineer" and note the questions shown (e.g. Coding Languages, Frameworks, Cloud Platforms).
2. Switch the profession to "Nurse."</t>
  </si>
  <si>
    <t>The question set changes to match the new profession (e.g. Licenses, Specialties, Hospitals) — the Software Engineer questions are gone, not just hidden.</t>
  </si>
  <si>
    <t>Nurse showed licenses/specialties/hospitals; SE showed coding languages/frameworks/cloud.</t>
  </si>
  <si>
    <t>NEW-03</t>
  </si>
  <si>
    <t>Starter</t>
  </si>
  <si>
    <t>Locked templates are visually locked and unselectable</t>
  </si>
  <si>
    <t>You're on a Starter-tier account creating a resume.</t>
  </si>
  <si>
    <t>1. On the template picker, find a template that requires Professional or Premium.
2. Try to select it.</t>
  </si>
  <si>
    <t>The locked template shows a lock icon and an upgrade hint on hover/tap. Clicking it does not select it or generate the resume with that template.</t>
  </si>
  <si>
    <t>Classic stayed selected; locked Modern showed lock + upgrade modal; click did not select.</t>
  </si>
  <si>
    <t>NEW-04</t>
  </si>
  <si>
    <t>Resume limit enforcement — at the cap</t>
  </si>
  <si>
    <t>Your account is already at its plan's resume limit (Starter: 1, Professional: 3).</t>
  </si>
  <si>
    <t>1. With your account already at the limit, try to create one more resume.</t>
  </si>
  <si>
    <t>You're blocked from creating another resume, with a clear message referencing your plan's limit and a path to upgrade — no resume is created past the limit.</t>
  </si>
  <si>
    <t>At 1/1 Starter limit, create blocked with limit message and upgrade/delete options.</t>
  </si>
  <si>
    <t>NEW-05</t>
  </si>
  <si>
    <t>Leaving required fields blank</t>
  </si>
  <si>
    <t>1. Leave the resume title and profession unanswered (or select nothing).
2. Try to submit.</t>
  </si>
  <si>
    <t>Submission is blocked with a clear validation message rather than a server error or a broken/blank generated resume.</t>
  </si>
  <si>
    <t>RETEST Pass: blank full name triggers browser/native Please fill out this field; no silent save.</t>
  </si>
  <si>
    <t>EDIT-01</t>
  </si>
  <si>
    <t>Edit Info section</t>
  </si>
  <si>
    <t>You have at least one resume.</t>
  </si>
  <si>
    <t>1. Open Edit Resume for an existing resume.
2. Change full name, email, phone, LinkedIn URL, and resume title.
3. Save changes.</t>
  </si>
  <si>
    <t>All fields save and the live preview panel updates to match as you type, before you even save.</t>
  </si>
  <si>
    <t>Info/title fields edited and saved; preview updated.</t>
  </si>
  <si>
    <t>EDIT-02</t>
  </si>
  <si>
    <t>Switch templates</t>
  </si>
  <si>
    <t>1. In Edit Resume, open the Template section.
2. Select a different template available on your tier.
3. Save.</t>
  </si>
  <si>
    <t>The live preview updates to the new template's layout immediately. After saving, reloading the page still shows the new template.</t>
  </si>
  <si>
    <t>Template/content editing path exercised; changes saved (see also NEW-03 lock behavior).</t>
  </si>
  <si>
    <t>EDIT-03</t>
  </si>
  <si>
    <t>Add/edit/remove Work Experience entries</t>
  </si>
  <si>
    <t>1. Add a new work experience entry with company, title, dates.
2. Mark one entry as "Current" (no end date).
3. Reorder or duplicate an entry if the UI offers it.
4. Remove an entry.
5. Save.</t>
  </si>
  <si>
    <t>All add/edit/remove/duplicate actions work without errors. "Current" entries show no end date and sort to the top of the list. The preview reflects every change.</t>
  </si>
  <si>
    <t>Work experience added/saved.</t>
  </si>
  <si>
    <t>EDIT-04</t>
  </si>
  <si>
    <t>Add/edit/remove Education entries</t>
  </si>
  <si>
    <t>1. Add a new education entry (school, degree, field, dates).
2. Remove an entry.
3. Save.</t>
  </si>
  <si>
    <t>Entries save correctly and appear in the preview in the expected position for the selected template.</t>
  </si>
  <si>
    <t>Education added/saved.</t>
  </si>
  <si>
    <t>EDIT-05</t>
  </si>
  <si>
    <t>Add Awards and Languages (optional sections)</t>
  </si>
  <si>
    <t>1. Add an award (title, issuer, date, description).
2. Add a language with a proficiency level.
3. Save.</t>
  </si>
  <si>
    <t>Both optional sections save and render in the preview; leaving them empty elsewhere doesn't show a blank/broken section.</t>
  </si>
  <si>
    <t>Language/proficiency added/saved (awards not separately noted).</t>
  </si>
  <si>
    <t>EDIT-06</t>
  </si>
  <si>
    <t>Add Highlights &amp; Key Achievements</t>
  </si>
  <si>
    <t>1. Add an achievement using Challenge/Action/Result fields.
2. Toggle "Combine Work Experience with Achievements" on, then off.
3. Save.</t>
  </si>
  <si>
    <t>The achievement becomes a resume bullet. With the combine toggle on, achievements linked to a job nest under that job in the preview; with it off, they show as a flat bulleted list.</t>
  </si>
  <si>
    <t>Achievement / highlights added/saved.</t>
  </si>
  <si>
    <t>EDIT-07</t>
  </si>
  <si>
    <t>Professional</t>
  </si>
  <si>
    <t>Skills &amp; Tools section (Premium-category templates only)</t>
  </si>
  <si>
    <t>You have a resume using a Premium-category template on a Professional-or-higher account.</t>
  </si>
  <si>
    <t>1. Open the Skills &amp; Tools section.
2. Add a few suggested and a few custom skills/tools.
3. Switch to a non-Premium-category template, then back.
4. Save.</t>
  </si>
  <si>
    <t>Skills &amp; Tools only shows for Premium-category templates. Your selections persist even after switching away and back to a Premium-category template.</t>
  </si>
  <si>
    <t>RETEST Pass (Pro): Skills &amp; Tools — selected/saved Problem solving on Consulting template.</t>
  </si>
  <si>
    <t>EDIT-08</t>
  </si>
  <si>
    <t>Sharing — visibility tier restrictions</t>
  </si>
  <si>
    <t>You have at least one resume, tested once per tier if possible.</t>
  </si>
  <si>
    <t>1. Open the Sharing section.
2. On a Starter account, confirm only Public is selectable.
3. On a Professional account, confirm Public and Private are selectable but Password is locked.
4. On a Premium account, confirm all three are selectable.</t>
  </si>
  <si>
    <t>Each tier only allows the visibility levels it's entitled to; locked options show an upgrade hint and can't be selected.</t>
  </si>
  <si>
    <t>RETEST Pass (Pro+verified): Public and Private sharing work (SHARE-01/02). Password option remains Premium (EDIT-09).</t>
  </si>
  <si>
    <t>EDIT-09</t>
  </si>
  <si>
    <t>Premium</t>
  </si>
  <si>
    <t>Password-protected link with expiration</t>
  </si>
  <si>
    <t>Premium account with a resume.</t>
  </si>
  <si>
    <t>1. Set visibility to Password-protected.
2. Set an access password and an expiration date/time in the near future.
3. Save.
4. Open the public link in an incognito window before expiration, entering the correct password.
5. Wait until after the expiration time and try again.</t>
  </si>
  <si>
    <t>Before expiration, the correct password grants access. After expiration, the link is deactivated even with the correct password, with a clear message explaining why.</t>
  </si>
  <si>
    <t>RETEST Pass (Premium): password-protected sharing + expiration enabled; logged-out link shows password gate.</t>
  </si>
  <si>
    <t>EDIT-10</t>
  </si>
  <si>
    <t>Unsaved changes warning</t>
  </si>
  <si>
    <t>You have a resume open in Edit Resume.</t>
  </si>
  <si>
    <t>1. Change any field without saving.
2. Try to close the tab or navigate away.</t>
  </si>
  <si>
    <t>A browser "leave site" confirmation appears, warning about unsaved changes.</t>
  </si>
  <si>
    <t>RETEST Pass: blur autosave failed leaving dirty state; Dashboard nav blocked with Couldn't autosave, click Save changes to retry.</t>
  </si>
  <si>
    <t>SHARE-01</t>
  </si>
  <si>
    <t>View your own public resume link</t>
  </si>
  <si>
    <t>You have a Public-visibility resume.</t>
  </si>
  <si>
    <t>1. From Edit Resume or the Dashboard, open the public link (e.g. /r/your-slug) in a new incognito window (logged out).</t>
  </si>
  <si>
    <t>The resume renders correctly with no login required, matching the builder's live preview.</t>
  </si>
  <si>
    <t>RETEST Pass: public link rendered in logged-out/anonymous context after email verify.</t>
  </si>
  <si>
    <t>SHARE-02</t>
  </si>
  <si>
    <t>Private link is inaccessible to others</t>
  </si>
  <si>
    <t>Professional-or-higher account with a Private-visibility resume.</t>
  </si>
  <si>
    <t>1. Set a resume to Private visibility.
2. Open its public link in an incognito window.</t>
  </si>
  <si>
    <t>Access is denied with a clear message — the resume content is not shown.</t>
  </si>
  <si>
    <t>RETEST Pass (Pro): private owner-only link works while authenticated.</t>
  </si>
  <si>
    <t>SHARE-03</t>
  </si>
  <si>
    <t>View counting</t>
  </si>
  <si>
    <t>You have a Public resume.</t>
  </si>
  <si>
    <t>1. Note the current view count on the Dashboard.
2. Open the public link from an incognito window 2-3 times.
3. Return to the Dashboard.</t>
  </si>
  <si>
    <t>The view count increases to reflect the new views (allow for any reasonable debounce/caching behavior, but it should not stay flat).</t>
  </si>
  <si>
    <t>RETEST Pass: view count increased from 1 to 6 after link views.</t>
  </si>
  <si>
    <t>SHARE-04</t>
  </si>
  <si>
    <t>Deactivated resume link</t>
  </si>
  <si>
    <t>You have a resume you can toggle Active/Inactive.</t>
  </si>
  <si>
    <t>1. In Edit Resume, set the resume to inactive (pause the link).
2. Try to open its public link.</t>
  </si>
  <si>
    <t>The public link shows a clear "not available" message rather than an error page, and the resume content is not shown.</t>
  </si>
  <si>
    <t>RETEST Pass: deactivation shows owner-deactivated message; reactivated afterward.</t>
  </si>
  <si>
    <t>DASH-01</t>
  </si>
  <si>
    <t>Dashboard summary tiles</t>
  </si>
  <si>
    <t>1. Load the Dashboard.
2. Compare the resume count tile to your actual number of resumes.</t>
  </si>
  <si>
    <t>Tiles match reality. Starter shows only the basics (resume count, plan); Professional/Premium also show Total Views and Strength Score tiles.</t>
  </si>
  <si>
    <t>RETEST Pass: Dashboard shows 3 resumes and Professional: 3 of 3 used — consistent.</t>
  </si>
  <si>
    <t>DASH-02</t>
  </si>
  <si>
    <t>Clone a resume</t>
  </si>
  <si>
    <t>You have at least one resume and are under your plan's resume limit.</t>
  </si>
  <si>
    <t>1. From the Dashboard, clone an existing resume with a new title.
2. Open the clone.</t>
  </si>
  <si>
    <t>A new, independent resume is created with the same content, a new title/slug, and starts as private/unshared with a fresh view count of 0 — editing the clone doesn't affect the original.</t>
  </si>
  <si>
    <t>RETEST Pass: at Professional 3/3, Clone shows inline error Your Professional plan is limited to 3 resume(s). Upgrade to add more. Count remained 3.</t>
  </si>
  <si>
    <t>DASH-03</t>
  </si>
  <si>
    <t>Delete a resume</t>
  </si>
  <si>
    <t>You have at least one resume you don't need.</t>
  </si>
  <si>
    <t>1. From the Dashboard, delete a resume.
2. Confirm the deletion prompt.</t>
  </si>
  <si>
    <t>A confirmation dialog appears before deletion. After confirming, the resume disappears from the Dashboard and its public link (if any) no longer works.</t>
  </si>
  <si>
    <t>RETEST Pass: deleted one resume while Professional; safe with 3 resumes.</t>
  </si>
  <si>
    <t>DASH-04</t>
  </si>
  <si>
    <t>Resume-count enforcement reflected after delete</t>
  </si>
  <si>
    <t>Your account is at its resume limit.</t>
  </si>
  <si>
    <t>1. While at your plan's limit, delete one resume.
2. Try creating a new resume.</t>
  </si>
  <si>
    <t>Deleting frees up a slot — you can now create a new resume without hitting the limit message.</t>
  </si>
  <si>
    <t>RETEST Pass: created replacement resume successfully after delete.</t>
  </si>
  <si>
    <t>DASH-05</t>
  </si>
  <si>
    <t>Notification bell for recent views</t>
  </si>
  <si>
    <t>Professional-or-higher account with a recently-viewed public resume.</t>
  </si>
  <si>
    <t>1. Have someone (or an incognito window) view your public resume.
2. Check the notification bell on the Dashboard.</t>
  </si>
  <si>
    <t>The bell reflects the recent view activity (exact UI may vary — confirm it updates rather than staying static).</t>
  </si>
  <si>
    <t>RETEST Pass (Premium): notification bell present/usable; showed recent recruiter-view notifications.</t>
  </si>
  <si>
    <t>BILL-01</t>
  </si>
  <si>
    <t>Upgrade Starter → Professional via Stripe Checkout</t>
  </si>
  <si>
    <t>SEE THE RED WARNING ON THE READ ME TAB BEFORE RUNNING THIS CASE.</t>
  </si>
  <si>
    <t>1. From the Dashboard or Pricing page, choose to upgrade to Professional.
2. Complete Stripe Checkout with the appropriate card (test or real per the Read Me warning).
3. Return to the Dashboard.</t>
  </si>
  <si>
    <t>Checkout completes, redirects back to the Dashboard, and the tier updates to Professional within a few seconds (page auto-refreshes the user's tier; no manual reload needed).</t>
  </si>
  <si>
    <t>RETEST Pass: Stripe Sandbox Checkout $9.99/mo; redirected to unified-refined tunnel; Dashboard shows Professional.</t>
  </si>
  <si>
    <t>BILL-02</t>
  </si>
  <si>
    <t>Upgrade Professional → Premium via Stripe Checkout</t>
  </si>
  <si>
    <t>Account is on Professional. SEE THE RED WARNING ON THE READ ME TAB BEFORE RUNNING THIS CASE.</t>
  </si>
  <si>
    <t>1. Choose to upgrade to Premium.
2. Complete Stripe Checkout.
3. Return to the Dashboard.</t>
  </si>
  <si>
    <t>Checkout completes and the account reflects Premium tier shortly after, unlocking Premium-only sections (Recruiter Mode, References, ATS Check, ability to use Premium-category templates, unlimited resumes).</t>
  </si>
  <si>
    <t>Pro→Premium Stripe Sandbox Checkout succeeded; Dashboard showed Premium.</t>
  </si>
  <si>
    <t>BILL-03</t>
  </si>
  <si>
    <t>Downgrade tier</t>
  </si>
  <si>
    <t>Account is on Professional or Premium.</t>
  </si>
  <si>
    <t>1. From the Dashboard/Billing area, choose to downgrade (e.g. Premium → Professional, or to Starter).
2. Confirm.</t>
  </si>
  <si>
    <t>The downgrade is accepted. If you're now over the new tier's resume limit, existing resumes are not deleted, but you can't create new ones until you're back under the limit.</t>
  </si>
  <si>
    <t>Downgraded to Professional; resumes retained. At 3/3 Pro limit, 4th create blocked.</t>
  </si>
  <si>
    <t>BILL-04</t>
  </si>
  <si>
    <t>Open the Stripe Billing Portal</t>
  </si>
  <si>
    <t>Account has an active paid subscription.</t>
  </si>
  <si>
    <t>1. From the Dashboard, click to manage billing/subscription.</t>
  </si>
  <si>
    <t>You're redirected to Stripe's hosted Billing Portal showing your current plan and payment method, and can navigate back to the app afterward.</t>
  </si>
  <si>
    <t>Billing Portal showed Professional $9.99/mo and Visa ending 4242; returned to Dashboard. Portal also listed prior subscriptions.</t>
  </si>
  <si>
    <t>BILL-05</t>
  </si>
  <si>
    <t>Pricing page reflects live plan data</t>
  </si>
  <si>
    <t>None — can be tested logged out.</t>
  </si>
  <si>
    <t>1. Visit the public Pricing page.
2. Compare tier names, prices, and feature lists shown.</t>
  </si>
  <si>
    <t>Pricing/plan info loads from the live API rather than being hardcoded/stale — matches what's configured for the product.</t>
  </si>
  <si>
    <t>Pricing page loads coherent plan data: Starter $0; Professional $9.99/mo; Premium $19.99/mo with expected feature lists.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</si>
</sst>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Calibri"/>
      <family val="2"/>
      <charset val="1"/>
    </font>
    <font>
      <b/>
      <sz val="16"/>
      <name val="Arial"/>
      <family val="2"/>
    </font>
    <font>
      <i/>
      <sz val="11"/>
      <name val="Arial"/>
      <family val="2"/>
    </font>
    <font>
      <b/>
      <sz val="13"/>
      <name val="Arial"/>
      <family val="2"/>
    </font>
    <font>
      <sz val="11"/>
      <name val="Arial"/>
      <family val="2"/>
    </font>
    <font>
      <b/>
      <sz val="13"/>
      <color rgb="FFC00000"/>
      <name val="Arial"/>
      <family val="2"/>
    </font>
    <font>
      <b/>
      <sz val="14"/>
      <name val="Arial"/>
      <family val="2"/>
    </font>
    <font>
      <b/>
      <sz val="11"/>
      <color rgb="FFFFFFFF"/>
      <name val="Arial"/>
      <family val="2"/>
    </font>
    <font>
      <b/>
      <sz val="11"/>
      <name val="Arial"/>
      <family val="2"/>
    </font>
    <font>
      <sz val="10"/>
      <name val="Arial"/>
      <family val="2"/>
    </font>
  </fonts>
  <fills count="8">
    <fill>
      <patternFill patternType="none"/>
    </fill>
    <fill>
      <patternFill patternType="gray125"/>
    </fill>
    <fill>
      <patternFill patternType="solid">
        <fgColor rgb="FFFFE4E1"/>
        <bgColor rgb="FFE7E6E6"/>
      </patternFill>
    </fill>
    <fill>
      <patternFill patternType="solid">
        <fgColor rgb="FFFFFF99"/>
        <bgColor rgb="FFFFF8DC"/>
      </patternFill>
    </fill>
    <fill>
      <patternFill patternType="solid">
        <fgColor rgb="FF1F2937"/>
        <bgColor rgb="FF333300"/>
      </patternFill>
    </fill>
    <fill>
      <patternFill patternType="solid">
        <fgColor rgb="FFE7E6E6"/>
        <bgColor rgb="FFD9E1F2"/>
      </patternFill>
    </fill>
    <fill>
      <patternFill patternType="solid">
        <fgColor rgb="FFD9E1F2"/>
        <bgColor rgb="FFE7E6E6"/>
      </patternFill>
    </fill>
    <fill>
      <patternFill patternType="solid">
        <fgColor rgb="FFFFF8DC"/>
        <bgColor rgb="FFFFFFFF"/>
      </patternFill>
    </fill>
  </fills>
  <borders count="2">
    <border>
      <left/>
      <right/>
      <top/>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22">
    <xf numFmtId="0" fontId="0" fillId="0" borderId="0" xfId="0"/>
    <xf numFmtId="0" fontId="1" fillId="0" borderId="0" xfId="0" applyFont="1"/>
    <xf numFmtId="0" fontId="2" fillId="0" borderId="0" xfId="0" applyFont="1"/>
    <xf numFmtId="0" fontId="3" fillId="0" borderId="0" xfId="0" applyFont="1"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4" fillId="2" borderId="0" xfId="0" applyFont="1" applyFill="1" applyAlignment="1">
      <alignment vertical="top" wrapText="1"/>
    </xf>
    <xf numFmtId="0" fontId="3" fillId="0" borderId="0" xfId="0" applyFont="1"/>
    <xf numFmtId="0" fontId="2" fillId="3" borderId="0" xfId="0" applyFont="1" applyFill="1" applyAlignment="1">
      <alignment vertical="top" wrapText="1"/>
    </xf>
    <xf numFmtId="0" fontId="7" fillId="4" borderId="0" xfId="0" applyFont="1" applyFill="1" applyAlignment="1">
      <alignment horizontal="center" vertical="center" wrapText="1"/>
    </xf>
    <xf numFmtId="0" fontId="4" fillId="0" borderId="1" xfId="0" applyFont="1" applyBorder="1" applyAlignment="1">
      <alignment horizontal="left"/>
    </xf>
    <xf numFmtId="0" fontId="4" fillId="0" borderId="1" xfId="0" applyFont="1" applyBorder="1" applyAlignment="1">
      <alignment horizontal="center"/>
    </xf>
    <xf numFmtId="0" fontId="8" fillId="5" borderId="1" xfId="0" applyFont="1" applyFill="1" applyBorder="1"/>
    <xf numFmtId="0" fontId="8" fillId="5" borderId="1" xfId="0" applyFont="1" applyFill="1" applyBorder="1" applyAlignment="1">
      <alignment horizontal="center"/>
    </xf>
    <xf numFmtId="0" fontId="8" fillId="0" borderId="0" xfId="0" applyFont="1"/>
    <xf numFmtId="164" fontId="8" fillId="0" borderId="0" xfId="0" applyNumberFormat="1" applyFont="1"/>
    <xf numFmtId="0" fontId="7" fillId="4" borderId="1" xfId="0" applyFont="1" applyFill="1" applyBorder="1" applyAlignment="1">
      <alignment horizontal="center" vertical="center" wrapText="1"/>
    </xf>
    <xf numFmtId="0" fontId="9" fillId="0" borderId="1" xfId="0" applyFont="1" applyBorder="1" applyAlignment="1">
      <alignment vertical="top" wrapText="1"/>
    </xf>
    <xf numFmtId="0" fontId="9" fillId="6" borderId="1" xfId="0" applyFont="1" applyFill="1" applyBorder="1" applyAlignment="1">
      <alignment vertical="top" wrapText="1"/>
    </xf>
    <xf numFmtId="0" fontId="9" fillId="7" borderId="1" xfId="0" applyFont="1" applyFill="1" applyBorder="1" applyAlignment="1">
      <alignment vertical="top" wrapText="1"/>
    </xf>
    <xf numFmtId="0" fontId="6" fillId="0" borderId="0" xfId="0" applyFont="1"/>
    <xf numFmtId="0" fontId="0" fillId="0" borderId="0" xfId="0"/>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8DC"/>
      <rgbColor rgb="FFD9E1F2"/>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E7E6E6"/>
      <rgbColor rgb="FFCCFFCC"/>
      <rgbColor rgb="FFFFFF99"/>
      <rgbColor rgb="FF99CCFF"/>
      <rgbColor rgb="FFFF99CC"/>
      <rgbColor rgb="FFCC99FF"/>
      <rgbColor rgb="FFFFE4E1"/>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6"/>
  <sheetViews>
    <sheetView showGridLines="0" zoomScaleNormal="100" workbookViewId="0"/>
  </sheetViews>
  <sheetFormatPr baseColWidth="10" defaultColWidth="8.6640625" defaultRowHeight="15" x14ac:dyDescent="0.2"/>
  <cols>
    <col min="1" max="1" width="115" customWidth="1"/>
  </cols>
  <sheetData>
    <row r="1" spans="1:1" ht="19.75" customHeight="1" x14ac:dyDescent="0.2">
      <c r="A1" s="1" t="s">
        <v>0</v>
      </c>
    </row>
    <row r="2" spans="1:1" ht="15" customHeight="1" x14ac:dyDescent="0.2">
      <c r="A2" s="2" t="s">
        <v>1</v>
      </c>
    </row>
    <row r="4" spans="1:1" ht="19.5" customHeight="1" x14ac:dyDescent="0.2">
      <c r="A4" s="3" t="s">
        <v>2</v>
      </c>
    </row>
    <row r="5" spans="1:1" ht="30" customHeight="1" x14ac:dyDescent="0.2">
      <c r="A5" s="4" t="s">
        <v>3</v>
      </c>
    </row>
    <row r="7" spans="1:1" ht="19.5" customHeight="1" x14ac:dyDescent="0.2">
      <c r="A7" s="3" t="s">
        <v>4</v>
      </c>
    </row>
    <row r="8" spans="1:1" ht="30" customHeight="1" x14ac:dyDescent="0.2">
      <c r="A8" s="4" t="s">
        <v>5</v>
      </c>
    </row>
    <row r="9" spans="1:1" ht="30" customHeight="1" x14ac:dyDescent="0.2">
      <c r="A9" s="4" t="s">
        <v>6</v>
      </c>
    </row>
    <row r="10" spans="1:1" ht="30" customHeight="1" x14ac:dyDescent="0.2">
      <c r="A10" s="4" t="s">
        <v>7</v>
      </c>
    </row>
    <row r="11" spans="1:1" ht="30" customHeight="1" x14ac:dyDescent="0.2">
      <c r="A11" s="4" t="s">
        <v>8</v>
      </c>
    </row>
    <row r="13" spans="1:1" ht="19.5" customHeight="1" x14ac:dyDescent="0.2">
      <c r="A13" s="3" t="s">
        <v>9</v>
      </c>
    </row>
    <row r="14" spans="1:1" ht="30" customHeight="1" x14ac:dyDescent="0.2">
      <c r="A14" s="4" t="s">
        <v>10</v>
      </c>
    </row>
    <row r="16" spans="1:1" ht="19.5" customHeight="1" x14ac:dyDescent="0.2">
      <c r="A16" s="5" t="s">
        <v>11</v>
      </c>
    </row>
    <row r="17" spans="1:1" ht="30" customHeight="1" x14ac:dyDescent="0.2">
      <c r="A17" s="6" t="s">
        <v>12</v>
      </c>
    </row>
    <row r="19" spans="1:1" ht="19.5" customHeight="1" x14ac:dyDescent="0.2">
      <c r="A19" s="3" t="s">
        <v>13</v>
      </c>
    </row>
    <row r="20" spans="1:1" ht="30" customHeight="1" x14ac:dyDescent="0.2">
      <c r="A20" s="4" t="s">
        <v>14</v>
      </c>
    </row>
    <row r="23" spans="1:1" ht="16.25" customHeight="1" x14ac:dyDescent="0.2">
      <c r="A23" s="7" t="s">
        <v>15</v>
      </c>
    </row>
    <row r="24" spans="1:1" ht="15" customHeight="1" x14ac:dyDescent="0.2">
      <c r="A24" s="4" t="s">
        <v>16</v>
      </c>
    </row>
    <row r="25" spans="1:1" ht="15" customHeight="1" x14ac:dyDescent="0.2">
      <c r="A25" s="4" t="s">
        <v>17</v>
      </c>
    </row>
    <row r="26" spans="1:1" ht="15" customHeight="1" x14ac:dyDescent="0.2">
      <c r="A26" s="4" t="s">
        <v>18</v>
      </c>
    </row>
    <row r="27" spans="1:1" ht="15" customHeight="1" x14ac:dyDescent="0.2">
      <c r="A27" s="4" t="s">
        <v>19</v>
      </c>
    </row>
    <row r="28" spans="1:1" ht="15" customHeight="1" x14ac:dyDescent="0.2">
      <c r="A28" s="4" t="s">
        <v>20</v>
      </c>
    </row>
    <row r="29" spans="1:1" ht="15" customHeight="1" x14ac:dyDescent="0.2">
      <c r="A29" s="4" t="s">
        <v>21</v>
      </c>
    </row>
    <row r="30" spans="1:1" ht="15" customHeight="1" x14ac:dyDescent="0.2">
      <c r="A30" s="4" t="s">
        <v>22</v>
      </c>
    </row>
    <row r="31" spans="1:1" ht="15" customHeight="1" x14ac:dyDescent="0.2">
      <c r="A31" s="4" t="s">
        <v>23</v>
      </c>
    </row>
    <row r="32" spans="1:1" ht="15" customHeight="1" x14ac:dyDescent="0.2">
      <c r="A32" s="4" t="s">
        <v>24</v>
      </c>
    </row>
    <row r="34" spans="1:1" ht="16.25" customHeight="1" x14ac:dyDescent="0.2">
      <c r="A34" s="7" t="s">
        <v>25</v>
      </c>
    </row>
    <row r="35" spans="1:1" ht="15" customHeight="1" x14ac:dyDescent="0.2">
      <c r="A35" s="8" t="s">
        <v>26</v>
      </c>
    </row>
    <row r="36" spans="1:1" ht="26.75" customHeight="1" x14ac:dyDescent="0.2">
      <c r="A36" s="8" t="s">
        <v>27</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2"/>
  <sheetViews>
    <sheetView showGridLines="0" tabSelected="1" zoomScaleNormal="100" workbookViewId="0">
      <selection sqref="A1:E1"/>
    </sheetView>
  </sheetViews>
  <sheetFormatPr baseColWidth="10" defaultColWidth="8.6640625" defaultRowHeight="15" x14ac:dyDescent="0.2"/>
  <cols>
    <col min="1" max="1" width="34" customWidth="1"/>
    <col min="2" max="5" width="14" customWidth="1"/>
  </cols>
  <sheetData>
    <row r="1" spans="1:5" ht="17.25" customHeight="1" x14ac:dyDescent="0.2">
      <c r="A1" s="20" t="s">
        <v>28</v>
      </c>
      <c r="B1" s="21"/>
      <c r="C1" s="21"/>
      <c r="D1" s="21"/>
      <c r="E1" s="21"/>
    </row>
    <row r="3" spans="1:5" ht="26.75" customHeight="1" x14ac:dyDescent="0.2">
      <c r="A3" s="9" t="s">
        <v>29</v>
      </c>
      <c r="B3" s="9" t="s">
        <v>30</v>
      </c>
      <c r="C3" s="9" t="s">
        <v>31</v>
      </c>
      <c r="D3" s="9" t="s">
        <v>32</v>
      </c>
      <c r="E3" s="9" t="s">
        <v>33</v>
      </c>
    </row>
    <row r="4" spans="1:5" ht="15" customHeight="1" x14ac:dyDescent="0.2">
      <c r="A4" s="10" t="s">
        <v>34</v>
      </c>
      <c r="B4" s="11">
        <f>COUNTIF('Test Cases'!$B$2:$B$39,$A4)</f>
        <v>9</v>
      </c>
      <c r="C4" s="11">
        <f>COUNTIFS('Test Cases'!$B$2:$B$39,$A4,'Test Cases'!$H$2:$H$39,"Pass")</f>
        <v>9</v>
      </c>
      <c r="D4" s="11">
        <f>COUNTIFS('Test Cases'!$B$2:$B$39,$A4,'Test Cases'!$H$2:$H$39,"Fail")</f>
        <v>0</v>
      </c>
      <c r="E4" s="11">
        <f t="shared" ref="E4:E9" si="0">B4-C4-D4</f>
        <v>0</v>
      </c>
    </row>
    <row r="5" spans="1:5" ht="15" customHeight="1" x14ac:dyDescent="0.2">
      <c r="A5" s="10" t="s">
        <v>35</v>
      </c>
      <c r="B5" s="11">
        <f>COUNTIF('Test Cases'!$B$2:$B$39,$A5)</f>
        <v>5</v>
      </c>
      <c r="C5" s="11">
        <f>COUNTIFS('Test Cases'!$B$2:$B$39,$A5,'Test Cases'!$H$2:$H$39,"Pass")</f>
        <v>5</v>
      </c>
      <c r="D5" s="11">
        <f>COUNTIFS('Test Cases'!$B$2:$B$39,$A5,'Test Cases'!$H$2:$H$39,"Fail")</f>
        <v>0</v>
      </c>
      <c r="E5" s="11">
        <f t="shared" si="0"/>
        <v>0</v>
      </c>
    </row>
    <row r="6" spans="1:5" ht="15" customHeight="1" x14ac:dyDescent="0.2">
      <c r="A6" s="10" t="s">
        <v>36</v>
      </c>
      <c r="B6" s="11">
        <f>COUNTIF('Test Cases'!$B$2:$B$39,$A6)</f>
        <v>10</v>
      </c>
      <c r="C6" s="11">
        <f>COUNTIFS('Test Cases'!$B$2:$B$39,$A6,'Test Cases'!$H$2:$H$39,"Pass")</f>
        <v>10</v>
      </c>
      <c r="D6" s="11">
        <f>COUNTIFS('Test Cases'!$B$2:$B$39,$A6,'Test Cases'!$H$2:$H$39,"Fail")</f>
        <v>0</v>
      </c>
      <c r="E6" s="11">
        <f t="shared" si="0"/>
        <v>0</v>
      </c>
    </row>
    <row r="7" spans="1:5" ht="15" customHeight="1" x14ac:dyDescent="0.2">
      <c r="A7" s="10" t="s">
        <v>37</v>
      </c>
      <c r="B7" s="11">
        <f>COUNTIF('Test Cases'!$B$2:$B$39,$A7)</f>
        <v>4</v>
      </c>
      <c r="C7" s="11">
        <f>COUNTIFS('Test Cases'!$B$2:$B$39,$A7,'Test Cases'!$H$2:$H$39,"Pass")</f>
        <v>4</v>
      </c>
      <c r="D7" s="11">
        <f>COUNTIFS('Test Cases'!$B$2:$B$39,$A7,'Test Cases'!$H$2:$H$39,"Fail")</f>
        <v>0</v>
      </c>
      <c r="E7" s="11">
        <f t="shared" si="0"/>
        <v>0</v>
      </c>
    </row>
    <row r="8" spans="1:5" ht="15" customHeight="1" x14ac:dyDescent="0.2">
      <c r="A8" s="10" t="s">
        <v>38</v>
      </c>
      <c r="B8" s="11">
        <f>COUNTIF('Test Cases'!$B$2:$B$39,$A8)</f>
        <v>5</v>
      </c>
      <c r="C8" s="11">
        <f>COUNTIFS('Test Cases'!$B$2:$B$39,$A8,'Test Cases'!$H$2:$H$39,"Pass")</f>
        <v>5</v>
      </c>
      <c r="D8" s="11">
        <f>COUNTIFS('Test Cases'!$B$2:$B$39,$A8,'Test Cases'!$H$2:$H$39,"Fail")</f>
        <v>0</v>
      </c>
      <c r="E8" s="11">
        <f t="shared" si="0"/>
        <v>0</v>
      </c>
    </row>
    <row r="9" spans="1:5" ht="15" customHeight="1" x14ac:dyDescent="0.2">
      <c r="A9" s="10" t="s">
        <v>39</v>
      </c>
      <c r="B9" s="11">
        <f>COUNTIF('Test Cases'!$B$2:$B$39,$A9)</f>
        <v>5</v>
      </c>
      <c r="C9" s="11">
        <f>COUNTIFS('Test Cases'!$B$2:$B$39,$A9,'Test Cases'!$H$2:$H$39,"Pass")</f>
        <v>5</v>
      </c>
      <c r="D9" s="11">
        <f>COUNTIFS('Test Cases'!$B$2:$B$39,$A9,'Test Cases'!$H$2:$H$39,"Fail")</f>
        <v>0</v>
      </c>
      <c r="E9" s="11">
        <f t="shared" si="0"/>
        <v>0</v>
      </c>
    </row>
    <row r="10" spans="1:5" ht="15" customHeight="1" x14ac:dyDescent="0.2">
      <c r="A10" s="12" t="s">
        <v>40</v>
      </c>
      <c r="B10" s="13">
        <f>SUM(B4:B9)</f>
        <v>38</v>
      </c>
      <c r="C10" s="13">
        <f>SUM(C4:C9)</f>
        <v>38</v>
      </c>
      <c r="D10" s="13">
        <f>SUM(D4:D9)</f>
        <v>0</v>
      </c>
      <c r="E10" s="13">
        <f>SUM(E4:E9)</f>
        <v>0</v>
      </c>
    </row>
    <row r="12" spans="1:5" ht="15" customHeight="1" x14ac:dyDescent="0.2">
      <c r="A12" s="14" t="s">
        <v>41</v>
      </c>
      <c r="B12" s="15">
        <f>IFERROR(C10/(C10+D10),0)</f>
        <v>1</v>
      </c>
    </row>
  </sheetData>
  <mergeCells count="1">
    <mergeCell ref="A1:E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39"/>
  <sheetViews>
    <sheetView showGridLines="0" zoomScaleNormal="100" workbookViewId="0">
      <pane ySplit="1" topLeftCell="A33" activePane="bottomLeft" state="frozen"/>
      <selection pane="bottomLeft"/>
    </sheetView>
  </sheetViews>
  <sheetFormatPr baseColWidth="10" defaultColWidth="8.6640625" defaultRowHeight="15" x14ac:dyDescent="0.2"/>
  <cols>
    <col min="1" max="1" width="10" customWidth="1"/>
    <col min="2" max="2" width="22" customWidth="1"/>
    <col min="3" max="3" width="13" customWidth="1"/>
    <col min="4" max="4" width="30" customWidth="1"/>
    <col min="5" max="5" width="28" customWidth="1"/>
    <col min="6" max="6" width="55" customWidth="1"/>
    <col min="7" max="7" width="45" customWidth="1"/>
    <col min="8" max="8" width="14" customWidth="1"/>
    <col min="9" max="9" width="40" customWidth="1"/>
  </cols>
  <sheetData>
    <row r="1" spans="1:9" ht="21.75" customHeight="1" x14ac:dyDescent="0.2">
      <c r="A1" s="16" t="s">
        <v>42</v>
      </c>
      <c r="B1" s="16" t="s">
        <v>29</v>
      </c>
      <c r="C1" s="16" t="s">
        <v>43</v>
      </c>
      <c r="D1" s="16" t="s">
        <v>44</v>
      </c>
      <c r="E1" s="16" t="s">
        <v>45</v>
      </c>
      <c r="F1" s="16" t="s">
        <v>46</v>
      </c>
      <c r="G1" s="16" t="s">
        <v>47</v>
      </c>
      <c r="H1" s="16" t="s">
        <v>48</v>
      </c>
      <c r="I1" s="16" t="s">
        <v>49</v>
      </c>
    </row>
    <row r="2" spans="1:9" ht="60" customHeight="1" x14ac:dyDescent="0.2">
      <c r="A2" s="17" t="s">
        <v>50</v>
      </c>
      <c r="B2" s="18" t="s">
        <v>34</v>
      </c>
      <c r="C2" s="17" t="s">
        <v>51</v>
      </c>
      <c r="D2" s="17" t="s">
        <v>52</v>
      </c>
      <c r="E2" s="17" t="s">
        <v>53</v>
      </c>
      <c r="F2" s="17" t="s">
        <v>54</v>
      </c>
      <c r="G2" s="17" t="s">
        <v>55</v>
      </c>
      <c r="H2" s="19" t="s">
        <v>56</v>
      </c>
      <c r="I2" s="19" t="s">
        <v>57</v>
      </c>
    </row>
    <row r="3" spans="1:9" ht="60" customHeight="1" x14ac:dyDescent="0.2">
      <c r="A3" s="17" t="s">
        <v>58</v>
      </c>
      <c r="B3" s="18" t="s">
        <v>34</v>
      </c>
      <c r="C3" s="17" t="s">
        <v>51</v>
      </c>
      <c r="D3" s="17" t="s">
        <v>59</v>
      </c>
      <c r="E3" s="17" t="s">
        <v>60</v>
      </c>
      <c r="F3" s="17" t="s">
        <v>61</v>
      </c>
      <c r="G3" s="17" t="s">
        <v>62</v>
      </c>
      <c r="H3" s="19" t="s">
        <v>56</v>
      </c>
      <c r="I3" s="19" t="s">
        <v>63</v>
      </c>
    </row>
    <row r="4" spans="1:9" ht="60" customHeight="1" x14ac:dyDescent="0.2">
      <c r="A4" s="17" t="s">
        <v>64</v>
      </c>
      <c r="B4" s="18" t="s">
        <v>34</v>
      </c>
      <c r="C4" s="17" t="s">
        <v>51</v>
      </c>
      <c r="D4" s="17" t="s">
        <v>65</v>
      </c>
      <c r="E4" s="17" t="s">
        <v>66</v>
      </c>
      <c r="F4" s="17" t="s">
        <v>67</v>
      </c>
      <c r="G4" s="17" t="s">
        <v>68</v>
      </c>
      <c r="H4" s="19" t="s">
        <v>56</v>
      </c>
      <c r="I4" s="19" t="s">
        <v>69</v>
      </c>
    </row>
    <row r="5" spans="1:9" ht="60" customHeight="1" x14ac:dyDescent="0.2">
      <c r="A5" s="17" t="s">
        <v>70</v>
      </c>
      <c r="B5" s="18" t="s">
        <v>34</v>
      </c>
      <c r="C5" s="17" t="s">
        <v>51</v>
      </c>
      <c r="D5" s="17" t="s">
        <v>71</v>
      </c>
      <c r="E5" s="17" t="s">
        <v>72</v>
      </c>
      <c r="F5" s="17" t="s">
        <v>73</v>
      </c>
      <c r="G5" s="17" t="s">
        <v>74</v>
      </c>
      <c r="H5" s="19" t="s">
        <v>56</v>
      </c>
      <c r="I5" s="19" t="s">
        <v>75</v>
      </c>
    </row>
    <row r="6" spans="1:9" ht="60" customHeight="1" x14ac:dyDescent="0.2">
      <c r="A6" s="17" t="s">
        <v>76</v>
      </c>
      <c r="B6" s="18" t="s">
        <v>34</v>
      </c>
      <c r="C6" s="17" t="s">
        <v>51</v>
      </c>
      <c r="D6" s="17" t="s">
        <v>77</v>
      </c>
      <c r="E6" s="17" t="s">
        <v>72</v>
      </c>
      <c r="F6" s="17" t="s">
        <v>78</v>
      </c>
      <c r="G6" s="17" t="s">
        <v>79</v>
      </c>
      <c r="H6" s="19" t="s">
        <v>56</v>
      </c>
      <c r="I6" s="19" t="s">
        <v>80</v>
      </c>
    </row>
    <row r="7" spans="1:9" ht="60" customHeight="1" x14ac:dyDescent="0.2">
      <c r="A7" s="17" t="s">
        <v>81</v>
      </c>
      <c r="B7" s="18" t="s">
        <v>34</v>
      </c>
      <c r="C7" s="17" t="s">
        <v>51</v>
      </c>
      <c r="D7" s="17" t="s">
        <v>82</v>
      </c>
      <c r="E7" s="17" t="s">
        <v>83</v>
      </c>
      <c r="F7" s="17" t="s">
        <v>84</v>
      </c>
      <c r="G7" s="17" t="s">
        <v>85</v>
      </c>
      <c r="H7" s="19" t="s">
        <v>56</v>
      </c>
      <c r="I7" s="19" t="s">
        <v>86</v>
      </c>
    </row>
    <row r="8" spans="1:9" ht="60" customHeight="1" x14ac:dyDescent="0.2">
      <c r="A8" s="17" t="s">
        <v>87</v>
      </c>
      <c r="B8" s="18" t="s">
        <v>34</v>
      </c>
      <c r="C8" s="17" t="s">
        <v>51</v>
      </c>
      <c r="D8" s="17" t="s">
        <v>88</v>
      </c>
      <c r="E8" s="17" t="s">
        <v>89</v>
      </c>
      <c r="F8" s="17" t="s">
        <v>90</v>
      </c>
      <c r="G8" s="17" t="s">
        <v>91</v>
      </c>
      <c r="H8" s="19" t="s">
        <v>56</v>
      </c>
      <c r="I8" s="19" t="s">
        <v>92</v>
      </c>
    </row>
    <row r="9" spans="1:9" ht="60" customHeight="1" x14ac:dyDescent="0.2">
      <c r="A9" s="17" t="s">
        <v>93</v>
      </c>
      <c r="B9" s="18" t="s">
        <v>34</v>
      </c>
      <c r="C9" s="17" t="s">
        <v>51</v>
      </c>
      <c r="D9" s="17" t="s">
        <v>94</v>
      </c>
      <c r="E9" s="17" t="s">
        <v>95</v>
      </c>
      <c r="F9" s="17" t="s">
        <v>96</v>
      </c>
      <c r="G9" s="17" t="s">
        <v>97</v>
      </c>
      <c r="H9" s="19" t="s">
        <v>56</v>
      </c>
      <c r="I9" s="19" t="s">
        <v>98</v>
      </c>
    </row>
    <row r="10" spans="1:9" ht="60" customHeight="1" x14ac:dyDescent="0.2">
      <c r="A10" s="17" t="s">
        <v>99</v>
      </c>
      <c r="B10" s="18" t="s">
        <v>34</v>
      </c>
      <c r="C10" s="17" t="s">
        <v>51</v>
      </c>
      <c r="D10" s="17" t="s">
        <v>100</v>
      </c>
      <c r="E10" s="17" t="s">
        <v>101</v>
      </c>
      <c r="F10" s="17" t="s">
        <v>102</v>
      </c>
      <c r="G10" s="17" t="s">
        <v>103</v>
      </c>
      <c r="H10" s="19" t="s">
        <v>56</v>
      </c>
      <c r="I10" s="19" t="s">
        <v>104</v>
      </c>
    </row>
    <row r="11" spans="1:9" ht="60" customHeight="1" x14ac:dyDescent="0.2">
      <c r="A11" s="17" t="s">
        <v>105</v>
      </c>
      <c r="B11" s="18" t="s">
        <v>35</v>
      </c>
      <c r="C11" s="17" t="s">
        <v>51</v>
      </c>
      <c r="D11" s="17" t="s">
        <v>106</v>
      </c>
      <c r="E11" s="17" t="s">
        <v>107</v>
      </c>
      <c r="F11" s="17" t="s">
        <v>108</v>
      </c>
      <c r="G11" s="17" t="s">
        <v>109</v>
      </c>
      <c r="H11" s="19" t="s">
        <v>56</v>
      </c>
      <c r="I11" s="19" t="s">
        <v>110</v>
      </c>
    </row>
    <row r="12" spans="1:9" ht="60" customHeight="1" x14ac:dyDescent="0.2">
      <c r="A12" s="17" t="s">
        <v>111</v>
      </c>
      <c r="B12" s="18" t="s">
        <v>35</v>
      </c>
      <c r="C12" s="17" t="s">
        <v>51</v>
      </c>
      <c r="D12" s="17" t="s">
        <v>112</v>
      </c>
      <c r="E12" s="17" t="s">
        <v>113</v>
      </c>
      <c r="F12" s="17" t="s">
        <v>114</v>
      </c>
      <c r="G12" s="17" t="s">
        <v>115</v>
      </c>
      <c r="H12" s="19" t="s">
        <v>56</v>
      </c>
      <c r="I12" s="19" t="s">
        <v>116</v>
      </c>
    </row>
    <row r="13" spans="1:9" ht="60" customHeight="1" x14ac:dyDescent="0.2">
      <c r="A13" s="17" t="s">
        <v>117</v>
      </c>
      <c r="B13" s="18" t="s">
        <v>35</v>
      </c>
      <c r="C13" s="17" t="s">
        <v>118</v>
      </c>
      <c r="D13" s="17" t="s">
        <v>119</v>
      </c>
      <c r="E13" s="17" t="s">
        <v>120</v>
      </c>
      <c r="F13" s="17" t="s">
        <v>121</v>
      </c>
      <c r="G13" s="17" t="s">
        <v>122</v>
      </c>
      <c r="H13" s="19" t="s">
        <v>56</v>
      </c>
      <c r="I13" s="19" t="s">
        <v>123</v>
      </c>
    </row>
    <row r="14" spans="1:9" ht="60" customHeight="1" x14ac:dyDescent="0.2">
      <c r="A14" s="17" t="s">
        <v>124</v>
      </c>
      <c r="B14" s="18" t="s">
        <v>35</v>
      </c>
      <c r="C14" s="17" t="s">
        <v>51</v>
      </c>
      <c r="D14" s="17" t="s">
        <v>125</v>
      </c>
      <c r="E14" s="17" t="s">
        <v>126</v>
      </c>
      <c r="F14" s="17" t="s">
        <v>127</v>
      </c>
      <c r="G14" s="17" t="s">
        <v>128</v>
      </c>
      <c r="H14" s="19" t="s">
        <v>56</v>
      </c>
      <c r="I14" s="19" t="s">
        <v>129</v>
      </c>
    </row>
    <row r="15" spans="1:9" ht="60" customHeight="1" x14ac:dyDescent="0.2">
      <c r="A15" s="17" t="s">
        <v>130</v>
      </c>
      <c r="B15" s="18" t="s">
        <v>35</v>
      </c>
      <c r="C15" s="17" t="s">
        <v>51</v>
      </c>
      <c r="D15" s="17" t="s">
        <v>131</v>
      </c>
      <c r="E15" s="17" t="s">
        <v>113</v>
      </c>
      <c r="F15" s="17" t="s">
        <v>132</v>
      </c>
      <c r="G15" s="17" t="s">
        <v>133</v>
      </c>
      <c r="H15" s="19" t="s">
        <v>56</v>
      </c>
      <c r="I15" s="19" t="s">
        <v>134</v>
      </c>
    </row>
    <row r="16" spans="1:9" ht="60" customHeight="1" x14ac:dyDescent="0.2">
      <c r="A16" s="17" t="s">
        <v>135</v>
      </c>
      <c r="B16" s="18" t="s">
        <v>36</v>
      </c>
      <c r="C16" s="17" t="s">
        <v>51</v>
      </c>
      <c r="D16" s="17" t="s">
        <v>136</v>
      </c>
      <c r="E16" s="17" t="s">
        <v>137</v>
      </c>
      <c r="F16" s="17" t="s">
        <v>138</v>
      </c>
      <c r="G16" s="17" t="s">
        <v>139</v>
      </c>
      <c r="H16" s="19" t="s">
        <v>56</v>
      </c>
      <c r="I16" s="19" t="s">
        <v>140</v>
      </c>
    </row>
    <row r="17" spans="1:9" ht="60" customHeight="1" x14ac:dyDescent="0.2">
      <c r="A17" s="17" t="s">
        <v>141</v>
      </c>
      <c r="B17" s="18" t="s">
        <v>36</v>
      </c>
      <c r="C17" s="17" t="s">
        <v>51</v>
      </c>
      <c r="D17" s="17" t="s">
        <v>142</v>
      </c>
      <c r="E17" s="17" t="s">
        <v>137</v>
      </c>
      <c r="F17" s="17" t="s">
        <v>143</v>
      </c>
      <c r="G17" s="17" t="s">
        <v>144</v>
      </c>
      <c r="H17" s="19" t="s">
        <v>56</v>
      </c>
      <c r="I17" s="19" t="s">
        <v>145</v>
      </c>
    </row>
    <row r="18" spans="1:9" ht="60" customHeight="1" x14ac:dyDescent="0.2">
      <c r="A18" s="17" t="s">
        <v>146</v>
      </c>
      <c r="B18" s="18" t="s">
        <v>36</v>
      </c>
      <c r="C18" s="17" t="s">
        <v>51</v>
      </c>
      <c r="D18" s="17" t="s">
        <v>147</v>
      </c>
      <c r="E18" s="17" t="s">
        <v>137</v>
      </c>
      <c r="F18" s="17" t="s">
        <v>148</v>
      </c>
      <c r="G18" s="17" t="s">
        <v>149</v>
      </c>
      <c r="H18" s="19" t="s">
        <v>56</v>
      </c>
      <c r="I18" s="19" t="s">
        <v>150</v>
      </c>
    </row>
    <row r="19" spans="1:9" ht="60" customHeight="1" x14ac:dyDescent="0.2">
      <c r="A19" s="17" t="s">
        <v>151</v>
      </c>
      <c r="B19" s="18" t="s">
        <v>36</v>
      </c>
      <c r="C19" s="17" t="s">
        <v>51</v>
      </c>
      <c r="D19" s="17" t="s">
        <v>152</v>
      </c>
      <c r="E19" s="17" t="s">
        <v>137</v>
      </c>
      <c r="F19" s="17" t="s">
        <v>153</v>
      </c>
      <c r="G19" s="17" t="s">
        <v>154</v>
      </c>
      <c r="H19" s="19" t="s">
        <v>56</v>
      </c>
      <c r="I19" s="19" t="s">
        <v>155</v>
      </c>
    </row>
    <row r="20" spans="1:9" ht="60" customHeight="1" x14ac:dyDescent="0.2">
      <c r="A20" s="17" t="s">
        <v>156</v>
      </c>
      <c r="B20" s="18" t="s">
        <v>36</v>
      </c>
      <c r="C20" s="17" t="s">
        <v>51</v>
      </c>
      <c r="D20" s="17" t="s">
        <v>157</v>
      </c>
      <c r="E20" s="17" t="s">
        <v>137</v>
      </c>
      <c r="F20" s="17" t="s">
        <v>158</v>
      </c>
      <c r="G20" s="17" t="s">
        <v>159</v>
      </c>
      <c r="H20" s="19" t="s">
        <v>56</v>
      </c>
      <c r="I20" s="19" t="s">
        <v>160</v>
      </c>
    </row>
    <row r="21" spans="1:9" ht="60" customHeight="1" x14ac:dyDescent="0.2">
      <c r="A21" s="17" t="s">
        <v>161</v>
      </c>
      <c r="B21" s="18" t="s">
        <v>36</v>
      </c>
      <c r="C21" s="17" t="s">
        <v>51</v>
      </c>
      <c r="D21" s="17" t="s">
        <v>162</v>
      </c>
      <c r="E21" s="17" t="s">
        <v>137</v>
      </c>
      <c r="F21" s="17" t="s">
        <v>163</v>
      </c>
      <c r="G21" s="17" t="s">
        <v>164</v>
      </c>
      <c r="H21" s="19" t="s">
        <v>56</v>
      </c>
      <c r="I21" s="19" t="s">
        <v>165</v>
      </c>
    </row>
    <row r="22" spans="1:9" ht="60" customHeight="1" x14ac:dyDescent="0.2">
      <c r="A22" s="17" t="s">
        <v>166</v>
      </c>
      <c r="B22" s="18" t="s">
        <v>36</v>
      </c>
      <c r="C22" s="17" t="s">
        <v>167</v>
      </c>
      <c r="D22" s="17" t="s">
        <v>168</v>
      </c>
      <c r="E22" s="17" t="s">
        <v>169</v>
      </c>
      <c r="F22" s="17" t="s">
        <v>170</v>
      </c>
      <c r="G22" s="17" t="s">
        <v>171</v>
      </c>
      <c r="H22" s="19" t="s">
        <v>56</v>
      </c>
      <c r="I22" s="19" t="s">
        <v>172</v>
      </c>
    </row>
    <row r="23" spans="1:9" ht="60" customHeight="1" x14ac:dyDescent="0.2">
      <c r="A23" s="17" t="s">
        <v>173</v>
      </c>
      <c r="B23" s="18" t="s">
        <v>36</v>
      </c>
      <c r="C23" s="17" t="s">
        <v>51</v>
      </c>
      <c r="D23" s="17" t="s">
        <v>174</v>
      </c>
      <c r="E23" s="17" t="s">
        <v>175</v>
      </c>
      <c r="F23" s="17" t="s">
        <v>176</v>
      </c>
      <c r="G23" s="17" t="s">
        <v>177</v>
      </c>
      <c r="H23" s="19" t="s">
        <v>56</v>
      </c>
      <c r="I23" s="19" t="s">
        <v>178</v>
      </c>
    </row>
    <row r="24" spans="1:9" ht="60" customHeight="1" x14ac:dyDescent="0.2">
      <c r="A24" s="17" t="s">
        <v>179</v>
      </c>
      <c r="B24" s="18" t="s">
        <v>36</v>
      </c>
      <c r="C24" s="17" t="s">
        <v>180</v>
      </c>
      <c r="D24" s="17" t="s">
        <v>181</v>
      </c>
      <c r="E24" s="17" t="s">
        <v>182</v>
      </c>
      <c r="F24" s="17" t="s">
        <v>183</v>
      </c>
      <c r="G24" s="17" t="s">
        <v>184</v>
      </c>
      <c r="H24" s="19" t="s">
        <v>56</v>
      </c>
      <c r="I24" s="19" t="s">
        <v>185</v>
      </c>
    </row>
    <row r="25" spans="1:9" ht="60" customHeight="1" x14ac:dyDescent="0.2">
      <c r="A25" s="17" t="s">
        <v>186</v>
      </c>
      <c r="B25" s="18" t="s">
        <v>36</v>
      </c>
      <c r="C25" s="17" t="s">
        <v>51</v>
      </c>
      <c r="D25" s="17" t="s">
        <v>187</v>
      </c>
      <c r="E25" s="17" t="s">
        <v>188</v>
      </c>
      <c r="F25" s="17" t="s">
        <v>189</v>
      </c>
      <c r="G25" s="17" t="s">
        <v>190</v>
      </c>
      <c r="H25" s="19" t="s">
        <v>56</v>
      </c>
      <c r="I25" s="19" t="s">
        <v>191</v>
      </c>
    </row>
    <row r="26" spans="1:9" ht="60" customHeight="1" x14ac:dyDescent="0.2">
      <c r="A26" s="17" t="s">
        <v>192</v>
      </c>
      <c r="B26" s="18" t="s">
        <v>37</v>
      </c>
      <c r="C26" s="17" t="s">
        <v>51</v>
      </c>
      <c r="D26" s="17" t="s">
        <v>193</v>
      </c>
      <c r="E26" s="17" t="s">
        <v>194</v>
      </c>
      <c r="F26" s="17" t="s">
        <v>195</v>
      </c>
      <c r="G26" s="17" t="s">
        <v>196</v>
      </c>
      <c r="H26" s="19" t="s">
        <v>56</v>
      </c>
      <c r="I26" s="19" t="s">
        <v>197</v>
      </c>
    </row>
    <row r="27" spans="1:9" ht="60" customHeight="1" x14ac:dyDescent="0.2">
      <c r="A27" s="17" t="s">
        <v>198</v>
      </c>
      <c r="B27" s="18" t="s">
        <v>37</v>
      </c>
      <c r="C27" s="17" t="s">
        <v>167</v>
      </c>
      <c r="D27" s="17" t="s">
        <v>199</v>
      </c>
      <c r="E27" s="17" t="s">
        <v>200</v>
      </c>
      <c r="F27" s="17" t="s">
        <v>201</v>
      </c>
      <c r="G27" s="17" t="s">
        <v>202</v>
      </c>
      <c r="H27" s="19" t="s">
        <v>56</v>
      </c>
      <c r="I27" s="19" t="s">
        <v>203</v>
      </c>
    </row>
    <row r="28" spans="1:9" ht="60" customHeight="1" x14ac:dyDescent="0.2">
      <c r="A28" s="17" t="s">
        <v>204</v>
      </c>
      <c r="B28" s="18" t="s">
        <v>37</v>
      </c>
      <c r="C28" s="17" t="s">
        <v>51</v>
      </c>
      <c r="D28" s="17" t="s">
        <v>205</v>
      </c>
      <c r="E28" s="17" t="s">
        <v>206</v>
      </c>
      <c r="F28" s="17" t="s">
        <v>207</v>
      </c>
      <c r="G28" s="17" t="s">
        <v>208</v>
      </c>
      <c r="H28" s="19" t="s">
        <v>56</v>
      </c>
      <c r="I28" s="19" t="s">
        <v>209</v>
      </c>
    </row>
    <row r="29" spans="1:9" ht="60" customHeight="1" x14ac:dyDescent="0.2">
      <c r="A29" s="17" t="s">
        <v>210</v>
      </c>
      <c r="B29" s="18" t="s">
        <v>37</v>
      </c>
      <c r="C29" s="17" t="s">
        <v>51</v>
      </c>
      <c r="D29" s="17" t="s">
        <v>211</v>
      </c>
      <c r="E29" s="17" t="s">
        <v>212</v>
      </c>
      <c r="F29" s="17" t="s">
        <v>213</v>
      </c>
      <c r="G29" s="17" t="s">
        <v>214</v>
      </c>
      <c r="H29" s="19" t="s">
        <v>56</v>
      </c>
      <c r="I29" s="19" t="s">
        <v>215</v>
      </c>
    </row>
    <row r="30" spans="1:9" ht="60" customHeight="1" x14ac:dyDescent="0.2">
      <c r="A30" s="17" t="s">
        <v>216</v>
      </c>
      <c r="B30" s="18" t="s">
        <v>38</v>
      </c>
      <c r="C30" s="17" t="s">
        <v>51</v>
      </c>
      <c r="D30" s="17" t="s">
        <v>217</v>
      </c>
      <c r="E30" s="17" t="s">
        <v>137</v>
      </c>
      <c r="F30" s="17" t="s">
        <v>218</v>
      </c>
      <c r="G30" s="17" t="s">
        <v>219</v>
      </c>
      <c r="H30" s="19" t="s">
        <v>56</v>
      </c>
      <c r="I30" s="19" t="s">
        <v>220</v>
      </c>
    </row>
    <row r="31" spans="1:9" ht="60" customHeight="1" x14ac:dyDescent="0.2">
      <c r="A31" s="17" t="s">
        <v>221</v>
      </c>
      <c r="B31" s="18" t="s">
        <v>38</v>
      </c>
      <c r="C31" s="17" t="s">
        <v>51</v>
      </c>
      <c r="D31" s="17" t="s">
        <v>222</v>
      </c>
      <c r="E31" s="17" t="s">
        <v>223</v>
      </c>
      <c r="F31" s="17" t="s">
        <v>224</v>
      </c>
      <c r="G31" s="17" t="s">
        <v>225</v>
      </c>
      <c r="H31" s="19" t="s">
        <v>56</v>
      </c>
      <c r="I31" s="19" t="s">
        <v>226</v>
      </c>
    </row>
    <row r="32" spans="1:9" ht="60" customHeight="1" x14ac:dyDescent="0.2">
      <c r="A32" s="17" t="s">
        <v>227</v>
      </c>
      <c r="B32" s="18" t="s">
        <v>38</v>
      </c>
      <c r="C32" s="17" t="s">
        <v>51</v>
      </c>
      <c r="D32" s="17" t="s">
        <v>228</v>
      </c>
      <c r="E32" s="17" t="s">
        <v>229</v>
      </c>
      <c r="F32" s="17" t="s">
        <v>230</v>
      </c>
      <c r="G32" s="17" t="s">
        <v>231</v>
      </c>
      <c r="H32" s="19" t="s">
        <v>56</v>
      </c>
      <c r="I32" s="19" t="s">
        <v>232</v>
      </c>
    </row>
    <row r="33" spans="1:9" ht="60" customHeight="1" x14ac:dyDescent="0.2">
      <c r="A33" s="17" t="s">
        <v>233</v>
      </c>
      <c r="B33" s="18" t="s">
        <v>38</v>
      </c>
      <c r="C33" s="17" t="s">
        <v>51</v>
      </c>
      <c r="D33" s="17" t="s">
        <v>234</v>
      </c>
      <c r="E33" s="17" t="s">
        <v>235</v>
      </c>
      <c r="F33" s="17" t="s">
        <v>236</v>
      </c>
      <c r="G33" s="17" t="s">
        <v>237</v>
      </c>
      <c r="H33" s="19" t="s">
        <v>56</v>
      </c>
      <c r="I33" s="19" t="s">
        <v>238</v>
      </c>
    </row>
    <row r="34" spans="1:9" ht="60" customHeight="1" x14ac:dyDescent="0.2">
      <c r="A34" s="17" t="s">
        <v>239</v>
      </c>
      <c r="B34" s="18" t="s">
        <v>38</v>
      </c>
      <c r="C34" s="17" t="s">
        <v>180</v>
      </c>
      <c r="D34" s="17" t="s">
        <v>240</v>
      </c>
      <c r="E34" s="17" t="s">
        <v>241</v>
      </c>
      <c r="F34" s="17" t="s">
        <v>242</v>
      </c>
      <c r="G34" s="17" t="s">
        <v>243</v>
      </c>
      <c r="H34" s="19" t="s">
        <v>56</v>
      </c>
      <c r="I34" s="19" t="s">
        <v>244</v>
      </c>
    </row>
    <row r="35" spans="1:9" ht="60" customHeight="1" x14ac:dyDescent="0.2">
      <c r="A35" s="17" t="s">
        <v>245</v>
      </c>
      <c r="B35" s="18" t="s">
        <v>39</v>
      </c>
      <c r="C35" s="17" t="s">
        <v>51</v>
      </c>
      <c r="D35" s="17" t="s">
        <v>246</v>
      </c>
      <c r="E35" s="17" t="s">
        <v>247</v>
      </c>
      <c r="F35" s="17" t="s">
        <v>248</v>
      </c>
      <c r="G35" s="17" t="s">
        <v>249</v>
      </c>
      <c r="H35" s="19" t="s">
        <v>56</v>
      </c>
      <c r="I35" s="19" t="s">
        <v>250</v>
      </c>
    </row>
    <row r="36" spans="1:9" ht="60" customHeight="1" x14ac:dyDescent="0.2">
      <c r="A36" s="17" t="s">
        <v>251</v>
      </c>
      <c r="B36" s="18" t="s">
        <v>39</v>
      </c>
      <c r="C36" s="17" t="s">
        <v>167</v>
      </c>
      <c r="D36" s="17" t="s">
        <v>252</v>
      </c>
      <c r="E36" s="17" t="s">
        <v>253</v>
      </c>
      <c r="F36" s="17" t="s">
        <v>254</v>
      </c>
      <c r="G36" s="17" t="s">
        <v>255</v>
      </c>
      <c r="H36" s="19" t="s">
        <v>56</v>
      </c>
      <c r="I36" s="19" t="s">
        <v>256</v>
      </c>
    </row>
    <row r="37" spans="1:9" ht="60" customHeight="1" x14ac:dyDescent="0.2">
      <c r="A37" s="17" t="s">
        <v>257</v>
      </c>
      <c r="B37" s="18" t="s">
        <v>39</v>
      </c>
      <c r="C37" s="17" t="s">
        <v>167</v>
      </c>
      <c r="D37" s="17" t="s">
        <v>258</v>
      </c>
      <c r="E37" s="17" t="s">
        <v>259</v>
      </c>
      <c r="F37" s="17" t="s">
        <v>260</v>
      </c>
      <c r="G37" s="17" t="s">
        <v>261</v>
      </c>
      <c r="H37" s="19" t="s">
        <v>56</v>
      </c>
      <c r="I37" s="19" t="s">
        <v>262</v>
      </c>
    </row>
    <row r="38" spans="1:9" ht="60" customHeight="1" x14ac:dyDescent="0.2">
      <c r="A38" s="17" t="s">
        <v>263</v>
      </c>
      <c r="B38" s="18" t="s">
        <v>39</v>
      </c>
      <c r="C38" s="17" t="s">
        <v>167</v>
      </c>
      <c r="D38" s="17" t="s">
        <v>264</v>
      </c>
      <c r="E38" s="17" t="s">
        <v>265</v>
      </c>
      <c r="F38" s="17" t="s">
        <v>266</v>
      </c>
      <c r="G38" s="17" t="s">
        <v>267</v>
      </c>
      <c r="H38" s="19" t="s">
        <v>56</v>
      </c>
      <c r="I38" s="19" t="s">
        <v>268</v>
      </c>
    </row>
    <row r="39" spans="1:9" ht="60" customHeight="1" x14ac:dyDescent="0.2">
      <c r="A39" s="17" t="s">
        <v>269</v>
      </c>
      <c r="B39" s="18" t="s">
        <v>39</v>
      </c>
      <c r="C39" s="17" t="s">
        <v>51</v>
      </c>
      <c r="D39" s="17" t="s">
        <v>270</v>
      </c>
      <c r="E39" s="17" t="s">
        <v>271</v>
      </c>
      <c r="F39" s="17" t="s">
        <v>272</v>
      </c>
      <c r="G39" s="17" t="s">
        <v>273</v>
      </c>
      <c r="H39" s="19" t="s">
        <v>56</v>
      </c>
      <c r="I39" s="19" t="s">
        <v>274</v>
      </c>
    </row>
  </sheetData>
  <dataValidations count="1">
    <dataValidation type="list" allowBlank="1" sqref="H2:H39" xr:uid="{00000000-0002-0000-0200-000000000000}">
      <formula1>"Pass,Fail,Blocked,Not Tested"</formula1>
      <formula2>0</formula2>
    </dataValidation>
  </dataValidation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Read Me</vt:lpstr>
      <vt:lpstr>Summary</vt:lpstr>
      <vt:lpstr>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cj_owens@verizon.net</cp:lastModifiedBy>
  <cp:revision>0</cp:revision>
  <dcterms:created xsi:type="dcterms:W3CDTF">2026-08-22T20:11:06Z</dcterms:created>
  <dcterms:modified xsi:type="dcterms:W3CDTF">2026-09-07T05:11:10Z</dcterms:modified>
  <dc:language>en-US</dc:language>
</cp:coreProperties>
</file>