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Test Cas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<sst xmlns="http://schemas.openxmlformats.org/spreadsheetml/2006/main" count="403" uniqueCount="264">
  <si>
    <t xml:space="preserve">ResumeLingo — AI Resume Refresh Nudge Test Plan</t>
  </si>
  <si>
    <t xml:space="preserve">For manual QA testing of the AI Resume Refresh nudge feature (Sep 2026) on the live subscriber experience at https://resumelingo.legumes-postage-9k.workers.dev, plus the admin console tools that support it.</t>
  </si>
  <si>
    <t xml:space="preserve">Scope</t>
  </si>
  <si>
    <t xml:space="preserve">This plan covers only the AI Resume Refresh nudge feature added Sep 2026: the Profile &gt; Email preferences settings for it, the first-resume prompt, the nudge email and its eligibility/cadence logic, the no-login landing page (yes/no gate, keyword picker, Challenge/Action/Result form, review/commit), duplicate-bullet prevention, the unsubscribe link, and the two admin-console tools built to support/test it. It does not re-cover the general account, resume-builder, sharing, dashboard, or billing flows already covered by the main ResumeLingo_Test_Plan workbook — see that plan for those.</t>
  </si>
  <si>
    <t xml:space="preserve">How to use this workbook</t>
  </si>
  <si>
    <t xml:space="preserve">1. Open the "Test Cases" tab. Each row is one test case with numbered steps and an expected result.
2. Work through cases in order within each section — later cases sometimes assume an earlier one already set something up (e.g. a resume needs to exist and have a bullet added before you can test the duplicate-prevention cases).
3. For each case, fill in the "Result" column using the dropdown (Pass / Fail / Blocked / Not Tested) and add detail in "Notes / Bug Description" for anything that isn't a clean Pass.
4. The "Summary" tab totals your results automatically as you fill in the Result column — no need to touch it.</t>
  </si>
  <si>
    <t xml:space="preserve">Test accounts and setup you'll need</t>
  </si>
  <si>
    <t xml:space="preserve">• A Professional or Premium account with ZERO resumes yet — needed for the first-resume prompt cases (FRP). Once you've created its first resume, it no longer qualifies for a fresh run of those cases; sign up a new one to re-test.
• A Starter account — used to confirm the feature stays invisible/inaccessible on that tier.
• A Professional or Premium account with at least one existing resume — used for the email-preferences, nudge-email, landing-page, and duplicate-prevention cases.
• An admin console login — the nudge email's daily cron never fires under normal local dev (`wrangler dev` does not run Cron Triggers), so Section C (and re-testing Section G) requires the "Run AI Resume Refresh nudge now" debug button on the Admin Dashboard. In production this also runs on its own daily.
• Access to the test accounts' inboxes (or Resend's dashboard/logs) to actually see the nudge and unsubscribe emails, and to click their links.
• To test cadence timing (CRON-03) without waiting real days, ask the developer to backdate a resume's lastRefreshNudgeSentAt (or leave it null) directly in the database for your test resume.</t>
  </si>
  <si>
    <t xml:space="preserve">A note on tokens and links</t>
  </si>
  <si>
    <t xml:space="preserve">The landing page and unsubscribe links each carry a signed token good for a limited time (30 days for the nudge landing page, 180 days for unsubscribe). If a link you're testing errors out as invalid/expired, generate a fresh one via the admin debug trigger (Section C) rather than assuming the feature is broken.</t>
  </si>
  <si>
    <t xml:space="preserve">Reporting issues</t>
  </si>
  <si>
    <t xml:space="preserve">For anything marked Fail or Blocked, capture: exact steps, expected vs. actual behavior, a screenshot if visual, and the browser/device used.</t>
  </si>
  <si>
    <t xml:space="preserve">Column legend (Test Cases tab)</t>
  </si>
  <si>
    <t xml:space="preserve">• Test ID: Unique case identifier, grouped by section prefix (e.g. PREF-01).
• Section: Which part of the feature this case belongs to.
• Tier Required: Minimum subscription tier needed to run this case. "Any" means every tier; "Admin" means the admin console rather than a subscriber tier.
• Test Case: Short name for the scenario being tested.
• Preconditions: What needs to already be true before you start.
• Steps: Numbered actions to perform, in order.
• Expected Result: What should happen if the feature works correctly.
• Result — EDIT THIS: Pick Pass / Fail / Blocked / Not Tested from the dropdown.
• Notes / Bug Description — EDIT THIS: Free text — required for anything other than Pass.</t>
  </si>
  <si>
    <t xml:space="preserve">Example of filled-in rows</t>
  </si>
  <si>
    <t xml:space="preserve">PREF-01 | Result: Pass | Notes: Checkbox and cadence dropdown both appeared for the Professional account, hidden for Starter.</t>
  </si>
  <si>
    <t xml:space="preserve">GATE-04 | Result: Fail | Notes: A blank white page appeared instead of the "invalid or expired" error message when using a tampered token. Chrome on macOS 15.</t>
  </si>
  <si>
    <t xml:space="preserve">ResumeLingo — AI Resume Refresh Nudge Test Plan — Results Summary</t>
  </si>
  <si>
    <t xml:space="preserve">Section</t>
  </si>
  <si>
    <t xml:space="preserve">Total Cases</t>
  </si>
  <si>
    <t xml:space="preserve">Passed</t>
  </si>
  <si>
    <t xml:space="preserve">Failed</t>
  </si>
  <si>
    <t xml:space="preserve">Not Tested / Blocked</t>
  </si>
  <si>
    <t xml:space="preserve">Email Preferences (Profile)</t>
  </si>
  <si>
    <t xml:space="preserve">First-Resume Prompt</t>
  </si>
  <si>
    <t xml:space="preserve">Nudge Email — Eligibility &amp; Delivery</t>
  </si>
  <si>
    <t xml:space="preserve">Landing Page — Yes/No Gate</t>
  </si>
  <si>
    <t xml:space="preserve">Landing Page — Keyword Path</t>
  </si>
  <si>
    <t xml:space="preserve">Landing Page — CAR Path &amp; Review</t>
  </si>
  <si>
    <t xml:space="preserve">Duplicate Prevention</t>
  </si>
  <si>
    <t xml:space="preserve">Unsubscribe</t>
  </si>
  <si>
    <t xml:space="preserve">Admin Tools</t>
  </si>
  <si>
    <t xml:space="preserve">TOTAL</t>
  </si>
  <si>
    <t xml:space="preserve">Pass rate (of tested cases)</t>
  </si>
  <si>
    <t xml:space="preserve">Test ID</t>
  </si>
  <si>
    <t xml:space="preserve">Tier Required</t>
  </si>
  <si>
    <t xml:space="preserve">Test Case</t>
  </si>
  <si>
    <t xml:space="preserve">Preconditions</t>
  </si>
  <si>
    <t xml:space="preserve">Steps</t>
  </si>
  <si>
    <t xml:space="preserve">Expected Result</t>
  </si>
  <si>
    <t xml:space="preserve">Result</t>
  </si>
  <si>
    <t xml:space="preserve">Notes / Bug Description</t>
  </si>
  <si>
    <t xml:space="preserve">PREF-01</t>
  </si>
  <si>
    <t xml:space="preserve">Any</t>
  </si>
  <si>
    <t xml:space="preserve">Email preferences section only shows for Professional/Premium</t>
  </si>
  <si>
    <t xml:space="preserve">You have a Starter account and a Professional (or Premium) account.</t>
  </si>
  <si>
    <t xml:space="preserve">1. Log in as the Starter account and open Profile.
2. Log in as the Professional/Premium account and open Profile.</t>
  </si>
  <si>
    <t xml:space="preserve">The Starter account's Profile has no "Email preferences" panel at all. The Professional/Premium account's Profile shows it, with both a "Weekly resume view digest" and an "AI Resume Refresh nudge" sub-section.</t>
  </si>
  <si>
    <t xml:space="preserve">Not Tested</t>
  </si>
  <si>
    <t xml:space="preserve">PREF-02</t>
  </si>
  <si>
    <t xml:space="preserve">Professional</t>
  </si>
  <si>
    <t xml:space="preserve">Refresh nudge has its own on/off checkbox, independent of the digest</t>
  </si>
  <si>
    <t xml:space="preserve">Professional/Premium account, on Profile.</t>
  </si>
  <si>
    <t xml:space="preserve">1. Note the current state of both the weekly digest checkbox and the refresh nudge checkbox.
2. Toggle only the refresh nudge checkbox off, leaving the digest checkbox unchanged.
3. Reload the page.</t>
  </si>
  <si>
    <t xml:space="preserve">Only the refresh nudge checkbox's state changed and persisted after reload; the weekly digest checkbox is unaffected — the two are independent settings.</t>
  </si>
  <si>
    <t xml:space="preserve">PREF-03</t>
  </si>
  <si>
    <t xml:space="preserve">Cadence dropdown disables when the nudge is off</t>
  </si>
  <si>
    <t xml:space="preserve">1. Uncheck "Send me the refresh nudge."
2. Look at the cadence dropdown (60/120/360 days).</t>
  </si>
  <si>
    <t xml:space="preserve">The cadence dropdown becomes disabled (greyed out) while the nudge checkbox is unchecked, but keeps showing its last-selected value rather than resetting.</t>
  </si>
  <si>
    <t xml:space="preserve">PREF-04</t>
  </si>
  <si>
    <t xml:space="preserve">Cadence selection saves and persists</t>
  </si>
  <si>
    <t xml:space="preserve">Professional/Premium account, refresh nudge checkbox checked.</t>
  </si>
  <si>
    <t xml:space="preserve">1. Change the cadence dropdown to each of 60, 120, and 360 days in turn, reloading the page after each change.</t>
  </si>
  <si>
    <t xml:space="preserve">Each selection persists after a reload — the dropdown shows exactly what was last saved, not a stale or default value.</t>
  </si>
  <si>
    <t xml:space="preserve">PREF-05</t>
  </si>
  <si>
    <t xml:space="preserve">Checkbox and label layout</t>
  </si>
  <si>
    <t xml:space="preserve">1. Visually inspect the checkbox and its "Send me the weekly digest" / "Send me the refresh nudge" text for both sub-sections.</t>
  </si>
  <si>
    <t xml:space="preserve">Both checkboxes and their labels are left-justified directly under each section's description text, with clear spacing between the checkbox and its label — not stretched, not right-aligned, not touching.</t>
  </si>
  <si>
    <t xml:space="preserve">FRP-01</t>
  </si>
  <si>
    <t xml:space="preserve">Modal appears after a Pro/Premium account's first resume</t>
  </si>
  <si>
    <t xml:space="preserve">A Professional or Premium account with zero resumes.</t>
  </si>
  <si>
    <t xml:space="preserve">1. Log in as that account.
2. Create a new resume through the normal New Resume flow and submit it.</t>
  </si>
  <si>
    <t xml:space="preserve">You land on that resume's Edit page, and the "Stay in the loop?" email-preferences modal appears as soon as the page loads, before you've touched any field.</t>
  </si>
  <si>
    <t xml:space="preserve">FRP-02</t>
  </si>
  <si>
    <t xml:space="preserve">Modal never appears for Starter</t>
  </si>
  <si>
    <t xml:space="preserve">A Starter account with zero resumes.</t>
  </si>
  <si>
    <t xml:space="preserve">1. Log in as that account.
2. Create its first resume.</t>
  </si>
  <si>
    <t xml:space="preserve">You land on the resume's Edit page with no email-preferences modal — Starter accounts never see it.</t>
  </si>
  <si>
    <t xml:space="preserve">FRP-03</t>
  </si>
  <si>
    <t xml:space="preserve">Modal doesn't resurface on a 2nd resume</t>
  </si>
  <si>
    <t xml:space="preserve">A Professional/Premium account that already has one resume (e.g. from FRP-01).</t>
  </si>
  <si>
    <t xml:space="preserve">1. Create a second resume on the same account.</t>
  </si>
  <si>
    <t xml:space="preserve">You land on the new resume's Edit page with no modal — it only ever appears once, right after the very first resume.</t>
  </si>
  <si>
    <t xml:space="preserve">FRP-04</t>
  </si>
  <si>
    <t xml:space="preserve">"Skip for now" dismisses without changing anything</t>
  </si>
  <si>
    <t xml:space="preserve">The modal is showing (fresh first-resume account).</t>
  </si>
  <si>
    <t xml:space="preserve">1. Note the current default checkbox states in the modal.
2. Click "Skip for now."
3. Open Profile &gt; Email preferences.</t>
  </si>
  <si>
    <t xml:space="preserve">The modal closes without saving. Profile shows the normal default values (both emails on, 120-day cadence) — skipping doesn't opt the account out of anything.</t>
  </si>
  <si>
    <t xml:space="preserve">FRP-05</t>
  </si>
  <si>
    <t xml:space="preserve">Saving from the modal reflects in Profile</t>
  </si>
  <si>
    <t xml:space="preserve">1. In the modal, uncheck one of the two email options and change the cadence dropdown.
2. Click "Save preferences."
3. Open Profile &gt; Email preferences.</t>
  </si>
  <si>
    <t xml:space="preserve">The modal closes, and Profile shows exactly what was set in the modal — same fields, same PUT /auth/me/email-preferences the Profile page itself uses.</t>
  </si>
  <si>
    <t xml:space="preserve">FRP-06</t>
  </si>
  <si>
    <t xml:space="preserve">Modal doesn't reappear on refresh after dismissal</t>
  </si>
  <si>
    <t xml:space="preserve">You just dismissed the modal (either Skip or Save) per FRP-04/FRP-05.</t>
  </si>
  <si>
    <t xml:space="preserve">1. Refresh the Edit Resume page you're still on.</t>
  </si>
  <si>
    <t xml:space="preserve">The modal does not reappear — dismissing it clears the one-time trigger so a reload of the same page can't resurface it.</t>
  </si>
  <si>
    <t xml:space="preserve">CRON-01</t>
  </si>
  <si>
    <t xml:space="preserve">Admin</t>
  </si>
  <si>
    <t xml:space="preserve">Debug trigger sends a real nudge email and reports a summary</t>
  </si>
  <si>
    <t xml:space="preserve">At least one Professional/Premium account with a resume eligible for a nudge (no lastRefreshNudgeSentAt, or past its cadence). Admin login.</t>
  </si>
  <si>
    <t xml:space="preserve">1. Log into the admin console, open the Dashboard, scroll to "Debug tools (dev only)."
2. Click "Run AI Resume Refresh nudge now."</t>
  </si>
  <si>
    <t xml:space="preserve">A result line appears reporting how many emails were sent, resumes nudged, failures, and eligible resumes. The eligible account actually receives the nudge email shortly after.</t>
  </si>
  <si>
    <t xml:space="preserve">CRON-02</t>
  </si>
  <si>
    <t xml:space="preserve">Opted-out accounts are excluded from a run</t>
  </si>
  <si>
    <t xml:space="preserve">An eligible Professional/Premium account, with resumeRefreshOptOut checked on in Profile.</t>
  </si>
  <si>
    <t xml:space="preserve">1. In Profile, turn off "Send me the refresh nudge" for a test account with an otherwise-eligible resume.
2. Run the debug trigger.</t>
  </si>
  <si>
    <t xml:space="preserve">That account's resume is not among the ones nudged (eligibleResumes count does not include it), and no email arrives for it.</t>
  </si>
  <si>
    <t xml:space="preserve">CRON-03</t>
  </si>
  <si>
    <t xml:space="preserve">Cadence threshold is respected per resume</t>
  </si>
  <si>
    <t xml:space="preserve">One resume with lastRefreshNudgeSentAt set to a recent date (within its cadence window), and one with it null or older than its cadence window — ask the developer to set these via the database if needed.</t>
  </si>
  <si>
    <t xml:space="preserve">1. Run the debug trigger.
2. Check which of the two resumes received a nudge.</t>
  </si>
  <si>
    <t xml:space="preserve">Only the resume past its cadence threshold (or never nudged) is included; the recently-nudged one is skipped.</t>
  </si>
  <si>
    <t xml:space="preserve">CRON-04</t>
  </si>
  <si>
    <t xml:space="preserve">Starter accounts are never nudged</t>
  </si>
  <si>
    <t xml:space="preserve">A Starter-tier account with an old, otherwise "stale" resume.</t>
  </si>
  <si>
    <t xml:space="preserve">1. Run the debug trigger.</t>
  </si>
  <si>
    <t xml:space="preserve">The Starter account's resume is never included, regardless of how old it is — the feature is Professional/Premium only.</t>
  </si>
  <si>
    <t xml:space="preserve">CRON-05</t>
  </si>
  <si>
    <t xml:space="preserve">Multiple stale resumes combine into one email</t>
  </si>
  <si>
    <t xml:space="preserve">One Professional/Premium account with two or more eligible resumes.</t>
  </si>
  <si>
    <t xml:space="preserve">1. Run the debug trigger.
2. Check the account's inbox.</t>
  </si>
  <si>
    <t xml:space="preserve">The account receives exactly ONE email listing all of its eligible resumes (one "Are you still working at..." section per resume), not one email per resume.</t>
  </si>
  <si>
    <t xml:space="preserve">CRON-06</t>
  </si>
  <si>
    <t xml:space="preserve">lastRefreshNudgeSentAt only updates for resumes actually sent</t>
  </si>
  <si>
    <t xml:space="preserve">Same setup as CRON-02/03 — a mix of eligible and excluded resumes.</t>
  </si>
  <si>
    <t xml:space="preserve">1. Run the debug trigger.
2. Ask the developer to check each resume's lastRefreshNudgeSentAt in the database.</t>
  </si>
  <si>
    <t xml:space="preserve">Only resumes that were actually included in a sent email get a fresh lastRefreshNudgeSentAt; opted-out or not-yet-due resumes are untouched.</t>
  </si>
  <si>
    <t xml:space="preserve">GATE-01</t>
  </si>
  <si>
    <t xml:space="preserve">Landing page asks about the current job when one exists</t>
  </si>
  <si>
    <t xml:space="preserve">A nudge email link for a resume whose Work Experience has an entry marked "Current."</t>
  </si>
  <si>
    <t xml:space="preserve">1. Click the "Answer — no login needed" link in the nudge email.</t>
  </si>
  <si>
    <t xml:space="preserve">The page loads (no login prompt) and asks "Are you still working at {company} as {title}?" using that current job's actual company/title.</t>
  </si>
  <si>
    <t xml:space="preserve">GATE-02</t>
  </si>
  <si>
    <t xml:space="preserve">Generic fallback question when there's no current job</t>
  </si>
  <si>
    <t xml:space="preserve">A nudge link for a resume with no Work Experience entries at all (or none marked Current).</t>
  </si>
  <si>
    <t xml:space="preserve">1. Click that resume's landing-page link.</t>
  </si>
  <si>
    <t xml:space="preserve">The page instead asks "Is \"{resume title}\" still up to date?" — a resume-level question, not a broken/blank company name.</t>
  </si>
  <si>
    <t xml:space="preserve">GATE-03</t>
  </si>
  <si>
    <t xml:space="preserve">Answering "No" makes no resume changes</t>
  </si>
  <si>
    <t xml:space="preserve">Any valid landing-page link.</t>
  </si>
  <si>
    <t xml:space="preserve">1. Click "No."
2. Note the message and link shown.
3. Separately confirm (e.g. via Edit Resume) that nothing on the resume changed.</t>
  </si>
  <si>
    <t xml:space="preserve">A "No problem — log in to update your resume" message appears with a link to log in. Nothing was added to the resume.</t>
  </si>
  <si>
    <t xml:space="preserve">GATE-04</t>
  </si>
  <si>
    <t xml:space="preserve">Invalid/expired/tampered token shows a friendly error</t>
  </si>
  <si>
    <t xml:space="preserve">A landing-page URL with its token altered (change a few characters) or one older than 30 days.</t>
  </si>
  <si>
    <t xml:space="preserve">1. Open the tampered/expired URL.</t>
  </si>
  <si>
    <t xml:space="preserve">A clear "This link is invalid or has expired" message appears with a link back to ResumeLingo — no crash, no blank page, no stack trace.</t>
  </si>
  <si>
    <t xml:space="preserve">GATE-05</t>
  </si>
  <si>
    <t xml:space="preserve">Missing token shows a specific message</t>
  </si>
  <si>
    <t xml:space="preserve">None.</t>
  </si>
  <si>
    <t xml:space="preserve">1. Open /resume-refresh with no ?token= at all.</t>
  </si>
  <si>
    <t xml:space="preserve">A "This link is missing its token" message appears rather than a generic error or blank page.</t>
  </si>
  <si>
    <t xml:space="preserve">KW-01</t>
  </si>
  <si>
    <t xml:space="preserve">Selecting one keyword drafts one bullet</t>
  </si>
  <si>
    <t xml:space="preserve">You answered "Yes" on a landing page with at least one curated keyword available.</t>
  </si>
  <si>
    <t xml:space="preserve">1. Select exactly one keyword chip.
2. Click "Draft 1 bullet."</t>
  </si>
  <si>
    <t xml:space="preserve">You land on the review screen with exactly one editable "Resume bullet" textarea, pre-filled with AI-drafted text based on that keyword.</t>
  </si>
  <si>
    <t xml:space="preserve">KW-02</t>
  </si>
  <si>
    <t xml:space="preserve">Selecting multiple keywords drafts one bullet each</t>
  </si>
  <si>
    <t xml:space="preserve">Same as KW-01, with at least 3 curated keywords available.</t>
  </si>
  <si>
    <t xml:space="preserve">1. Select 3 different keyword chips.
2. Click "Draft 3 bullets."</t>
  </si>
  <si>
    <t xml:space="preserve">The review screen shows 3 separate, individually editable "Resume bullet 1/2/3" textareas, one per selected keyword.</t>
  </si>
  <si>
    <t xml:space="preserve">KW-03</t>
  </si>
  <si>
    <t xml:space="preserve">Already-used keywords are disabled</t>
  </si>
  <si>
    <t xml:space="preserve">A resume that already has a bullet mentioning a specific curated keyword (e.g. added via an earlier pass through this flow, or already on the resume from Edit Resume).</t>
  </si>
  <si>
    <t xml:space="preserve">1. Open a fresh landing-page link for that same resume and answer "Yes."
2. Look at the keyword picker.</t>
  </si>
  <si>
    <t xml:space="preserve">The keyword matching what's already on the resume appears struck-through, labeled "(added)," greyed out, and cannot be selected/clicked.</t>
  </si>
  <si>
    <t xml:space="preserve">KW-04</t>
  </si>
  <si>
    <t xml:space="preserve">Draft button reflects selection count</t>
  </si>
  <si>
    <t xml:space="preserve">On the keyword picker.</t>
  </si>
  <si>
    <t xml:space="preserve">1. Select zero, then one, then three keywords, noting the button label each time.</t>
  </si>
  <si>
    <t xml:space="preserve">The button reads "Select a keyword to draft a bullet" (disabled) with none selected, "Draft 1 bullet" with one, and "Draft 3 bullets" with three.</t>
  </si>
  <si>
    <t xml:space="preserve">KW-05</t>
  </si>
  <si>
    <t xml:space="preserve">Switching to the CAR form</t>
  </si>
  <si>
    <t xml:space="preserve">1. Click "Or describe what you did yourself →."</t>
  </si>
  <si>
    <t xml:space="preserve">The page switches to the Challenge/Action/Result form.</t>
  </si>
  <si>
    <t xml:space="preserve">KW-06</t>
  </si>
  <si>
    <t xml:space="preserve">Back button from CAR form preserves keyword selections</t>
  </si>
  <si>
    <t xml:space="preserve">On the keyword picker, with 2 keywords selected.</t>
  </si>
  <si>
    <t xml:space="preserve">1. Click "Or describe what you did yourself →" to reach the CAR form.
2. Click "← Back."</t>
  </si>
  <si>
    <t xml:space="preserve">You return to the keyword picker with the same 2 keywords still shown as selected — the selection wasn't lost.</t>
  </si>
  <si>
    <t xml:space="preserve">CAR-01</t>
  </si>
  <si>
    <t xml:space="preserve">CAR form drafts a bullet</t>
  </si>
  <si>
    <t xml:space="preserve">On the CAR form.</t>
  </si>
  <si>
    <t xml:space="preserve">1. Fill in Challenge, Action, and Result with realistic text.
2. Click "Draft a bullet."</t>
  </si>
  <si>
    <t xml:space="preserve">You land on the review screen with one editable bullet, sensibly combining the three fields into one resume-style sentence.</t>
  </si>
  <si>
    <t xml:space="preserve">CAR-02</t>
  </si>
  <si>
    <t xml:space="preserve">Blank CAR form is rejected</t>
  </si>
  <si>
    <t xml:space="preserve">1. Leave Challenge, Action, and Result all blank.
2. Click "Draft a bullet."</t>
  </si>
  <si>
    <t xml:space="preserve">A validation error appears ("Fill in at least one of...") — no bullet is drafted, no request appears to succeed with nothing.</t>
  </si>
  <si>
    <t xml:space="preserve">CAR-03</t>
  </si>
  <si>
    <t xml:space="preserve">Review screen's Back button returns to the right place</t>
  </si>
  <si>
    <t xml:space="preserve">One reached the review screen via the keyword path, another time via the CAR path.</t>
  </si>
  <si>
    <t xml:space="preserve">1. From a keyword-path review screen, click "← Back."
2. Separately, from a CAR-path review screen, click "← Back."</t>
  </si>
  <si>
    <t xml:space="preserve">The keyword-path back button returns to the keyword picker (selections intact); the CAR-path back button returns to the CAR form (fields intact) — not always the same screen.</t>
  </si>
  <si>
    <t xml:space="preserve">CAR-04</t>
  </si>
  <si>
    <t xml:space="preserve">Editing the draft before committing saves the edit</t>
  </si>
  <si>
    <t xml:space="preserve">On the review screen with one drafted bullet.</t>
  </si>
  <si>
    <t xml:space="preserve">1. Edit the bullet text substantially.
2. Click "Add this bullet to my resume."
3. Open the resume in Edit Resume (logged in) and check its bullets.</t>
  </si>
  <si>
    <t xml:space="preserve">The resume shows your edited text, not the original AI-drafted text.</t>
  </si>
  <si>
    <t xml:space="preserve">CAR-05</t>
  </si>
  <si>
    <t xml:space="preserve">Committing shows the correct success screen</t>
  </si>
  <si>
    <t xml:space="preserve">On the review screen, once with one bullet and once with several.</t>
  </si>
  <si>
    <t xml:space="preserve">1. Commit a single bullet and note the wording.
2. Separately commit multiple bullets and note the wording.</t>
  </si>
  <si>
    <t xml:space="preserve">Singular: "Added! Your resume now includes this bullet." Plural: "...includes these bullets." Both show "Close this window" and "Go to ResumeLingo" buttons.</t>
  </si>
  <si>
    <t xml:space="preserve">CAR-06</t>
  </si>
  <si>
    <t xml:space="preserve">Close/fallback buttons on the success screen</t>
  </si>
  <si>
    <t xml:space="preserve">On the success screen.</t>
  </si>
  <si>
    <t xml:space="preserve">1. Click "Close this window."
2. If the tab doesn't close, click "Go to ResumeLingo" instead.</t>
  </si>
  <si>
    <t xml:space="preserve">If the tab was opened by a user click (e.g. from an email client that opens links in a new tab), it closes. Either way, "Go to ResumeLingo" reliably navigates to login.</t>
  </si>
  <si>
    <t xml:space="preserve">DUP-01</t>
  </si>
  <si>
    <t xml:space="preserve">Reopening a used link disables already-added keywords</t>
  </si>
  <si>
    <t xml:space="preserve">You already added a bullet from a specific keyword (e.g. via KW-01).</t>
  </si>
  <si>
    <t xml:space="preserve">1. Open a fresh landing-page link for the same resume and answer "Yes" again.</t>
  </si>
  <si>
    <t xml:space="preserve">The keyword you already used shows disabled/struck-through as "(added)" — matches KW-03.</t>
  </si>
  <si>
    <t xml:space="preserve">DUP-02</t>
  </si>
  <si>
    <t xml:space="preserve">Stale draft attempt is rejected server-side</t>
  </si>
  <si>
    <t xml:space="preserve">A resume with a keyword already used. You have two browser tabs open to the same fresh landing-page link.</t>
  </si>
  <si>
    <t xml:space="preserve">1. In tab A, select the already-used keyword before the page's disabled state would normally stop you (e.g. via a very fast double-click, or ask the developer to replay the raw API request for that keyword).
2. Submit the draft request.</t>
  </si>
  <si>
    <t xml:space="preserve">The request is rejected with a message like "...already added to this resume — pick a different keyword..." rather than drafting a near-duplicate bullet.</t>
  </si>
  <si>
    <t xml:space="preserve">DUP-03</t>
  </si>
  <si>
    <t xml:space="preserve">Exact-duplicate CAR bullet is rejected at commit</t>
  </si>
  <si>
    <t xml:space="preserve">A resume that already has a specific bullet's exact text.</t>
  </si>
  <si>
    <t xml:space="preserve">1. Use the CAR form to draft a bullet whose final text exactly matches (case/whitespace aside) a bullet already on the resume.
2. Click "Add this bullet to my resume."</t>
  </si>
  <si>
    <t xml:space="preserve">The commit either skips it with a note on the success screen ("X of Y was already on this resume") or, if it was the only item, shows a "That's already on this resume" message rather than adding a duplicate.</t>
  </si>
  <si>
    <t xml:space="preserve">DUP-04</t>
  </si>
  <si>
    <t xml:space="preserve">Same-batch duplicates collapse to one bullet</t>
  </si>
  <si>
    <t xml:space="preserve">1. Select two keywords likely to draft very similar/identical bullet text (e.g. two near-synonymous skills).
2. Review, then commit both.</t>
  </si>
  <si>
    <t xml:space="preserve">If both drafts end up as the exact same bullet text, only one copy is actually added to the resume — check the resulting bullet count.</t>
  </si>
  <si>
    <t xml:space="preserve">DUP-05</t>
  </si>
  <si>
    <t xml:space="preserve">Admin dedupe tool removes an existing duplicate</t>
  </si>
  <si>
    <t xml:space="preserve">A resume with a manually-created duplicate bullet (ask the developer to seed one, or trigger DUP-03/04 before this fix existed).</t>
  </si>
  <si>
    <t xml:space="preserve">1. In the admin console, open Resumes.
2. Click "Remove duplicate bullets" and confirm.
3. Reload the affected resume.</t>
  </si>
  <si>
    <t xml:space="preserve">A toast reports how many duplicates were removed across how many resumes. The affected resume now shows only one copy of the bullet, in its original position.</t>
  </si>
  <si>
    <t xml:space="preserve">UNSUB-01</t>
  </si>
  <si>
    <t xml:space="preserve">Nudge email's unsubscribe link shows the right copy</t>
  </si>
  <si>
    <t xml:space="preserve">A received nudge email.</t>
  </si>
  <si>
    <t xml:space="preserve">1. Click "Unsubscribe from the resume refresh nudge" in the email footer.</t>
  </si>
  <si>
    <t xml:space="preserve">The unsubscribe page heading reads "AI Resume Refresh nudge" (not "Weekly resume digest"), with matching copy about check-in emails.</t>
  </si>
  <si>
    <t xml:space="preserve">UNSUB-02</t>
  </si>
  <si>
    <t xml:space="preserve">Confirming sets only the refresh-nudge preference</t>
  </si>
  <si>
    <t xml:space="preserve">On that unsubscribe page, account's viewDigestOptOut currently off.</t>
  </si>
  <si>
    <t xml:space="preserve">1. Click "Unsubscribe me."
2. Log in and check Profile &gt; Email preferences.</t>
  </si>
  <si>
    <t xml:space="preserve">"Send me the refresh nudge" is now unchecked. "Send me the weekly digest" is untouched (still checked, assuming it was before).</t>
  </si>
  <si>
    <t xml:space="preserve">UNSUB-03</t>
  </si>
  <si>
    <t xml:space="preserve">Weekly digest's unsubscribe link still only affects that setting</t>
  </si>
  <si>
    <t xml:space="preserve">A received weekly digest email, account's resumeRefreshOptOut currently off.</t>
  </si>
  <si>
    <t xml:space="preserve">1. Click "Unsubscribe from the weekly digest" in that email.
2. Confirm on the page (heading should read "Weekly resume digest").
3. Check Profile &gt; Email preferences.</t>
  </si>
  <si>
    <t xml:space="preserve">Only "Send me the weekly digest" is unchecked; "Send me the refresh nudge" is unaffected — confirms the shared token/route correctly tells the two apart.</t>
  </si>
  <si>
    <t xml:space="preserve">ADM-01</t>
  </si>
  <si>
    <t xml:space="preserve">Debug trigger logs to the Audit Log</t>
  </si>
  <si>
    <t xml:space="preserve">Admin login.</t>
  </si>
  <si>
    <t xml:space="preserve">1. Run "Run AI Resume Refresh nudge now" from the Dashboard.
2. Open Admin &gt; Audit Log.</t>
  </si>
  <si>
    <t xml:space="preserve">A new entry appears: "Manually ran AI Resume Refresh nudge (debug)" with a detail string matching the counts just shown on the Dashboard.</t>
  </si>
  <si>
    <t xml:space="preserve">ADM-02</t>
  </si>
  <si>
    <t xml:space="preserve">Dedupe tool logs to the Audit Log</t>
  </si>
  <si>
    <t xml:space="preserve">1. Run "Remove duplicate bullets" from the Resumes page.
2. Open Admin &gt; Audit Log.</t>
  </si>
  <si>
    <t xml:space="preserve">A new entry appears: "Removed duplicate resume bullets" with a detail string naming how many bullets/resumes were affected (or 0 if none were found).</t>
  </si>
  <si>
    <t xml:space="preserve">ADM-03</t>
  </si>
  <si>
    <t xml:space="preserve">Both admin actions require admin auth</t>
  </si>
  <si>
    <t xml:space="preserve">You have your admin session token (from browser dev tools or similar) but are logged out of the admin console in a fresh session/incognito window.</t>
  </si>
  <si>
    <t xml:space="preserve">1. Without an admin session, attempt to call POST /api/admin/debug/run-resume-refresh-nudge and POST /api/admin/resumes/dedupe-bullets directly (e.g. via a REST client).</t>
  </si>
  <si>
    <t xml:space="preserve">Both are rejected as unauthorized — neither runs without a valid admin session.</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</si>
</sst>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1"/>
      <name val="Arial"/>
      <family val="0"/>
      <charset val="1"/>
    </font>
    <font>
      <b val="true"/>
      <sz val="13"/>
      <name val="Arial"/>
      <family val="0"/>
      <charset val="1"/>
    </font>
    <font>
      <b val="true"/>
      <sz val="14"/>
      <name val="Arial"/>
      <family val="0"/>
      <charset val="1"/>
    </font>
    <font>
      <b val="true"/>
      <sz val="11"/>
      <color rgb="FFFFFFFF"/>
      <name val="Arial"/>
      <family val="0"/>
      <charset val="1"/>
    </font>
    <font>
      <b val="true"/>
      <sz val="11"/>
      <name val="Arial"/>
      <family val="0"/>
      <charset val="1"/>
    </font>
    <font>
      <sz val="10"/>
      <name val="Arial"/>
      <family val="0"/>
      <charset val="1"/>
    </font>
  </fonts>
  <fills count="6">
    <fill>
      <patternFill patternType="none"/>
    </fill>
    <fill>
      <patternFill patternType="gray125"/>
    </fill>
    <fill>
      <patternFill patternType="solid">
        <fgColor rgb="FF1F2937"/>
        <bgColor rgb="FF333300"/>
      </patternFill>
    </fill>
    <fill>
      <patternFill patternType="solid">
        <fgColor rgb="FFE7E6E6"/>
        <bgColor rgb="FFD9E1F2"/>
      </patternFill>
    </fill>
    <fill>
      <patternFill patternType="solid">
        <fgColor rgb="FFD9E1F2"/>
        <bgColor rgb="FFE7E6E6"/>
      </patternFill>
    </fill>
    <fill>
      <patternFill patternType="solid">
        <fgColor rgb="FFFFF8DC"/>
        <bgColor rgb="FFFFFFF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DC"/>
      <rgbColor rgb="FFD9E1F2"/>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5"/>
  </cols>
  <sheetData>
    <row r="1" customFormat="false" ht="19.5" hidden="false" customHeight="true" outlineLevel="0" collapsed="false">
      <c r="A1" s="1" t="s">
        <v>0</v>
      </c>
    </row>
    <row r="2" customFormat="false" ht="30" hidden="false" customHeight="true" outlineLevel="0" collapsed="false">
      <c r="A2" s="2" t="s">
        <v>1</v>
      </c>
    </row>
    <row r="4" customFormat="false" ht="19.5" hidden="false" customHeight="true" outlineLevel="0" collapsed="false">
      <c r="A4" s="3" t="s">
        <v>2</v>
      </c>
    </row>
    <row r="5" customFormat="false" ht="60" hidden="false" customHeight="true" outlineLevel="0" collapsed="false">
      <c r="A5" s="2" t="s">
        <v>3</v>
      </c>
    </row>
    <row r="7" customFormat="false" ht="19.5" hidden="false" customHeight="true" outlineLevel="0" collapsed="false">
      <c r="A7" s="3" t="s">
        <v>4</v>
      </c>
    </row>
    <row r="8" customFormat="false" ht="60" hidden="false" customHeight="true" outlineLevel="0" collapsed="false">
      <c r="A8" s="2" t="s">
        <v>5</v>
      </c>
    </row>
    <row r="10" customFormat="false" ht="19.5" hidden="false" customHeight="true" outlineLevel="0" collapsed="false">
      <c r="A10" s="3" t="s">
        <v>6</v>
      </c>
    </row>
    <row r="11" customFormat="false" ht="129.75" hidden="false" customHeight="true" outlineLevel="0" collapsed="false">
      <c r="A11" s="2" t="s">
        <v>7</v>
      </c>
    </row>
    <row r="13" customFormat="false" ht="19.5" hidden="false" customHeight="true" outlineLevel="0" collapsed="false">
      <c r="A13" s="3" t="s">
        <v>8</v>
      </c>
    </row>
    <row r="14" customFormat="false" ht="45" hidden="false" customHeight="true" outlineLevel="0" collapsed="false">
      <c r="A14" s="2" t="s">
        <v>9</v>
      </c>
    </row>
    <row r="16" customFormat="false" ht="19.5" hidden="false" customHeight="true" outlineLevel="0" collapsed="false">
      <c r="A16" s="3" t="s">
        <v>10</v>
      </c>
    </row>
    <row r="17" customFormat="false" ht="30" hidden="false" customHeight="true" outlineLevel="0" collapsed="false">
      <c r="A17" s="2" t="s">
        <v>11</v>
      </c>
    </row>
    <row r="20" customFormat="false" ht="19.5" hidden="false" customHeight="true" outlineLevel="0" collapsed="false">
      <c r="A20" s="3" t="s">
        <v>12</v>
      </c>
    </row>
    <row r="21" customFormat="false" ht="129.75" hidden="false" customHeight="true" outlineLevel="0" collapsed="false">
      <c r="A21" s="2" t="s">
        <v>13</v>
      </c>
    </row>
    <row r="23" customFormat="false" ht="19.5" hidden="false" customHeight="true" outlineLevel="0" collapsed="false">
      <c r="A23" s="3" t="s">
        <v>14</v>
      </c>
    </row>
    <row r="24" customFormat="false" ht="30" hidden="false" customHeight="true" outlineLevel="0" collapsed="false">
      <c r="A24" s="2" t="s">
        <v>15</v>
      </c>
    </row>
    <row r="25" customFormat="false" ht="30" hidden="false" customHeight="true" outlineLevel="0" collapsed="false">
      <c r="A25"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4" min="3" style="0" width="13"/>
    <col collapsed="false" customWidth="true" hidden="false" outlineLevel="0" max="5" min="5" style="0" width="20"/>
  </cols>
  <sheetData>
    <row r="1" customFormat="false" ht="17.35" hidden="false" customHeight="false" outlineLevel="0" collapsed="false">
      <c r="A1" s="4" t="s">
        <v>17</v>
      </c>
      <c r="B1" s="4"/>
      <c r="C1" s="4"/>
      <c r="D1" s="4"/>
      <c r="E1" s="4"/>
    </row>
    <row r="3" customFormat="false" ht="15" hidden="false" customHeight="false" outlineLevel="0" collapsed="false">
      <c r="A3" s="5" t="s">
        <v>18</v>
      </c>
      <c r="B3" s="5" t="s">
        <v>19</v>
      </c>
      <c r="C3" s="5" t="s">
        <v>20</v>
      </c>
      <c r="D3" s="5" t="s">
        <v>21</v>
      </c>
      <c r="E3" s="5" t="s">
        <v>22</v>
      </c>
    </row>
    <row r="4" customFormat="false" ht="15" hidden="false" customHeight="false" outlineLevel="0" collapsed="false">
      <c r="A4" s="6" t="s">
        <v>23</v>
      </c>
      <c r="B4" s="6" t="n">
        <f aca="false">COUNTIF('Test Cases'!$B$2:$B$46,$A4)</f>
        <v>5</v>
      </c>
      <c r="C4" s="6" t="n">
        <f aca="false">COUNTIFS('Test Cases'!$B$2:$B$46,$A4,'Test Cases'!$H$2:$H$46,"Pass")</f>
        <v>0</v>
      </c>
      <c r="D4" s="6" t="n">
        <f aca="false">COUNTIFS('Test Cases'!$B$2:$B$46,$A4,'Test Cases'!$H$2:$H$46,"Fail")</f>
        <v>0</v>
      </c>
      <c r="E4" s="6" t="n">
        <f aca="false">B4-C4-D4</f>
        <v>5</v>
      </c>
    </row>
    <row r="5" customFormat="false" ht="15" hidden="false" customHeight="false" outlineLevel="0" collapsed="false">
      <c r="A5" s="6" t="s">
        <v>24</v>
      </c>
      <c r="B5" s="6" t="n">
        <f aca="false">COUNTIF('Test Cases'!$B$2:$B$46,$A5)</f>
        <v>6</v>
      </c>
      <c r="C5" s="6" t="n">
        <f aca="false">COUNTIFS('Test Cases'!$B$2:$B$46,$A5,'Test Cases'!$H$2:$H$46,"Pass")</f>
        <v>0</v>
      </c>
      <c r="D5" s="6" t="n">
        <f aca="false">COUNTIFS('Test Cases'!$B$2:$B$46,$A5,'Test Cases'!$H$2:$H$46,"Fail")</f>
        <v>0</v>
      </c>
      <c r="E5" s="6" t="n">
        <f aca="false">B5-C5-D5</f>
        <v>6</v>
      </c>
    </row>
    <row r="6" customFormat="false" ht="15" hidden="false" customHeight="false" outlineLevel="0" collapsed="false">
      <c r="A6" s="6" t="s">
        <v>25</v>
      </c>
      <c r="B6" s="6" t="n">
        <f aca="false">COUNTIF('Test Cases'!$B$2:$B$46,$A6)</f>
        <v>6</v>
      </c>
      <c r="C6" s="6" t="n">
        <f aca="false">COUNTIFS('Test Cases'!$B$2:$B$46,$A6,'Test Cases'!$H$2:$H$46,"Pass")</f>
        <v>0</v>
      </c>
      <c r="D6" s="6" t="n">
        <f aca="false">COUNTIFS('Test Cases'!$B$2:$B$46,$A6,'Test Cases'!$H$2:$H$46,"Fail")</f>
        <v>0</v>
      </c>
      <c r="E6" s="6" t="n">
        <f aca="false">B6-C6-D6</f>
        <v>6</v>
      </c>
    </row>
    <row r="7" customFormat="false" ht="15" hidden="false" customHeight="false" outlineLevel="0" collapsed="false">
      <c r="A7" s="6" t="s">
        <v>26</v>
      </c>
      <c r="B7" s="6" t="n">
        <f aca="false">COUNTIF('Test Cases'!$B$2:$B$46,$A7)</f>
        <v>5</v>
      </c>
      <c r="C7" s="6" t="n">
        <f aca="false">COUNTIFS('Test Cases'!$B$2:$B$46,$A7,'Test Cases'!$H$2:$H$46,"Pass")</f>
        <v>0</v>
      </c>
      <c r="D7" s="6" t="n">
        <f aca="false">COUNTIFS('Test Cases'!$B$2:$B$46,$A7,'Test Cases'!$H$2:$H$46,"Fail")</f>
        <v>0</v>
      </c>
      <c r="E7" s="6" t="n">
        <f aca="false">B7-C7-D7</f>
        <v>5</v>
      </c>
    </row>
    <row r="8" customFormat="false" ht="15" hidden="false" customHeight="false" outlineLevel="0" collapsed="false">
      <c r="A8" s="6" t="s">
        <v>27</v>
      </c>
      <c r="B8" s="6" t="n">
        <f aca="false">COUNTIF('Test Cases'!$B$2:$B$46,$A8)</f>
        <v>6</v>
      </c>
      <c r="C8" s="6" t="n">
        <f aca="false">COUNTIFS('Test Cases'!$B$2:$B$46,$A8,'Test Cases'!$H$2:$H$46,"Pass")</f>
        <v>0</v>
      </c>
      <c r="D8" s="6" t="n">
        <f aca="false">COUNTIFS('Test Cases'!$B$2:$B$46,$A8,'Test Cases'!$H$2:$H$46,"Fail")</f>
        <v>0</v>
      </c>
      <c r="E8" s="6" t="n">
        <f aca="false">B8-C8-D8</f>
        <v>6</v>
      </c>
    </row>
    <row r="9" customFormat="false" ht="15" hidden="false" customHeight="false" outlineLevel="0" collapsed="false">
      <c r="A9" s="6" t="s">
        <v>28</v>
      </c>
      <c r="B9" s="6" t="n">
        <f aca="false">COUNTIF('Test Cases'!$B$2:$B$46,$A9)</f>
        <v>6</v>
      </c>
      <c r="C9" s="6" t="n">
        <f aca="false">COUNTIFS('Test Cases'!$B$2:$B$46,$A9,'Test Cases'!$H$2:$H$46,"Pass")</f>
        <v>0</v>
      </c>
      <c r="D9" s="6" t="n">
        <f aca="false">COUNTIFS('Test Cases'!$B$2:$B$46,$A9,'Test Cases'!$H$2:$H$46,"Fail")</f>
        <v>0</v>
      </c>
      <c r="E9" s="6" t="n">
        <f aca="false">B9-C9-D9</f>
        <v>6</v>
      </c>
    </row>
    <row r="10" customFormat="false" ht="15" hidden="false" customHeight="false" outlineLevel="0" collapsed="false">
      <c r="A10" s="6" t="s">
        <v>29</v>
      </c>
      <c r="B10" s="6" t="n">
        <f aca="false">COUNTIF('Test Cases'!$B$2:$B$46,$A10)</f>
        <v>5</v>
      </c>
      <c r="C10" s="6" t="n">
        <f aca="false">COUNTIFS('Test Cases'!$B$2:$B$46,$A10,'Test Cases'!$H$2:$H$46,"Pass")</f>
        <v>0</v>
      </c>
      <c r="D10" s="6" t="n">
        <f aca="false">COUNTIFS('Test Cases'!$B$2:$B$46,$A10,'Test Cases'!$H$2:$H$46,"Fail")</f>
        <v>0</v>
      </c>
      <c r="E10" s="6" t="n">
        <f aca="false">B10-C10-D10</f>
        <v>5</v>
      </c>
    </row>
    <row r="11" customFormat="false" ht="15" hidden="false" customHeight="false" outlineLevel="0" collapsed="false">
      <c r="A11" s="6" t="s">
        <v>30</v>
      </c>
      <c r="B11" s="6" t="n">
        <f aca="false">COUNTIF('Test Cases'!$B$2:$B$46,$A11)</f>
        <v>3</v>
      </c>
      <c r="C11" s="6" t="n">
        <f aca="false">COUNTIFS('Test Cases'!$B$2:$B$46,$A11,'Test Cases'!$H$2:$H$46,"Pass")</f>
        <v>0</v>
      </c>
      <c r="D11" s="6" t="n">
        <f aca="false">COUNTIFS('Test Cases'!$B$2:$B$46,$A11,'Test Cases'!$H$2:$H$46,"Fail")</f>
        <v>0</v>
      </c>
      <c r="E11" s="6" t="n">
        <f aca="false">B11-C11-D11</f>
        <v>3</v>
      </c>
    </row>
    <row r="12" customFormat="false" ht="15" hidden="false" customHeight="false" outlineLevel="0" collapsed="false">
      <c r="A12" s="6" t="s">
        <v>31</v>
      </c>
      <c r="B12" s="6" t="n">
        <f aca="false">COUNTIF('Test Cases'!$B$2:$B$46,$A12)</f>
        <v>3</v>
      </c>
      <c r="C12" s="6" t="n">
        <f aca="false">COUNTIFS('Test Cases'!$B$2:$B$46,$A12,'Test Cases'!$H$2:$H$46,"Pass")</f>
        <v>0</v>
      </c>
      <c r="D12" s="6" t="n">
        <f aca="false">COUNTIFS('Test Cases'!$B$2:$B$46,$A12,'Test Cases'!$H$2:$H$46,"Fail")</f>
        <v>0</v>
      </c>
      <c r="E12" s="6" t="n">
        <f aca="false">B12-C12-D12</f>
        <v>3</v>
      </c>
    </row>
    <row r="13" customFormat="false" ht="15" hidden="false" customHeight="false" outlineLevel="0" collapsed="false">
      <c r="A13" s="7" t="s">
        <v>32</v>
      </c>
      <c r="B13" s="7" t="n">
        <f aca="false">SUM(B4:B12)</f>
        <v>45</v>
      </c>
      <c r="C13" s="7" t="n">
        <f aca="false">SUM(C4:C12)</f>
        <v>0</v>
      </c>
      <c r="D13" s="7" t="n">
        <f aca="false">SUM(D4:D12)</f>
        <v>0</v>
      </c>
      <c r="E13" s="7" t="n">
        <f aca="false">SUM(E4:E12)</f>
        <v>45</v>
      </c>
    </row>
    <row r="15" customFormat="false" ht="15" hidden="false" customHeight="false" outlineLevel="0" collapsed="false">
      <c r="A15" s="8" t="s">
        <v>33</v>
      </c>
      <c r="B15" s="9" t="n">
        <f aca="false">IFERROR(C13/(C13+D13),0)</f>
        <v>0</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3"/>
    <col collapsed="false" customWidth="true" hidden="false" outlineLevel="0" max="4" min="4" style="0" width="32"/>
    <col collapsed="false" customWidth="true" hidden="false" outlineLevel="0" max="5" min="5" style="0" width="30"/>
    <col collapsed="false" customWidth="true" hidden="false" outlineLevel="0" max="6" min="6" style="0" width="55"/>
    <col collapsed="false" customWidth="true" hidden="false" outlineLevel="0" max="7" min="7" style="0" width="48"/>
    <col collapsed="false" customWidth="true" hidden="false" outlineLevel="0" max="8" min="8" style="0" width="14"/>
    <col collapsed="false" customWidth="true" hidden="false" outlineLevel="0" max="9" min="9" style="0" width="40"/>
  </cols>
  <sheetData>
    <row r="1" customFormat="false" ht="21.75" hidden="false" customHeight="true" outlineLevel="0" collapsed="false">
      <c r="A1" s="10" t="s">
        <v>34</v>
      </c>
      <c r="B1" s="10" t="s">
        <v>18</v>
      </c>
      <c r="C1" s="10" t="s">
        <v>35</v>
      </c>
      <c r="D1" s="10" t="s">
        <v>36</v>
      </c>
      <c r="E1" s="10" t="s">
        <v>37</v>
      </c>
      <c r="F1" s="10" t="s">
        <v>38</v>
      </c>
      <c r="G1" s="10" t="s">
        <v>39</v>
      </c>
      <c r="H1" s="10" t="s">
        <v>40</v>
      </c>
      <c r="I1" s="10" t="s">
        <v>41</v>
      </c>
    </row>
    <row r="2" customFormat="false" ht="60" hidden="false" customHeight="true" outlineLevel="0" collapsed="false">
      <c r="A2" s="11" t="s">
        <v>42</v>
      </c>
      <c r="B2" s="12" t="s">
        <v>23</v>
      </c>
      <c r="C2" s="11" t="s">
        <v>43</v>
      </c>
      <c r="D2" s="11" t="s">
        <v>44</v>
      </c>
      <c r="E2" s="11" t="s">
        <v>45</v>
      </c>
      <c r="F2" s="11" t="s">
        <v>46</v>
      </c>
      <c r="G2" s="11" t="s">
        <v>47</v>
      </c>
      <c r="H2" s="13" t="s">
        <v>48</v>
      </c>
      <c r="I2" s="13"/>
    </row>
    <row r="3" customFormat="false" ht="60" hidden="false" customHeight="true" outlineLevel="0" collapsed="false">
      <c r="A3" s="11" t="s">
        <v>49</v>
      </c>
      <c r="B3" s="12" t="s">
        <v>23</v>
      </c>
      <c r="C3" s="11" t="s">
        <v>50</v>
      </c>
      <c r="D3" s="11" t="s">
        <v>51</v>
      </c>
      <c r="E3" s="11" t="s">
        <v>52</v>
      </c>
      <c r="F3" s="11" t="s">
        <v>53</v>
      </c>
      <c r="G3" s="11" t="s">
        <v>54</v>
      </c>
      <c r="H3" s="13" t="s">
        <v>48</v>
      </c>
      <c r="I3" s="13"/>
    </row>
    <row r="4" customFormat="false" ht="60" hidden="false" customHeight="true" outlineLevel="0" collapsed="false">
      <c r="A4" s="11" t="s">
        <v>55</v>
      </c>
      <c r="B4" s="12" t="s">
        <v>23</v>
      </c>
      <c r="C4" s="11" t="s">
        <v>50</v>
      </c>
      <c r="D4" s="11" t="s">
        <v>56</v>
      </c>
      <c r="E4" s="11" t="s">
        <v>52</v>
      </c>
      <c r="F4" s="11" t="s">
        <v>57</v>
      </c>
      <c r="G4" s="11" t="s">
        <v>58</v>
      </c>
      <c r="H4" s="13" t="s">
        <v>48</v>
      </c>
      <c r="I4" s="13"/>
    </row>
    <row r="5" customFormat="false" ht="60" hidden="false" customHeight="true" outlineLevel="0" collapsed="false">
      <c r="A5" s="11" t="s">
        <v>59</v>
      </c>
      <c r="B5" s="12" t="s">
        <v>23</v>
      </c>
      <c r="C5" s="11" t="s">
        <v>50</v>
      </c>
      <c r="D5" s="11" t="s">
        <v>60</v>
      </c>
      <c r="E5" s="11" t="s">
        <v>61</v>
      </c>
      <c r="F5" s="11" t="s">
        <v>62</v>
      </c>
      <c r="G5" s="11" t="s">
        <v>63</v>
      </c>
      <c r="H5" s="13" t="s">
        <v>48</v>
      </c>
      <c r="I5" s="13"/>
    </row>
    <row r="6" customFormat="false" ht="60" hidden="false" customHeight="true" outlineLevel="0" collapsed="false">
      <c r="A6" s="11" t="s">
        <v>64</v>
      </c>
      <c r="B6" s="12" t="s">
        <v>23</v>
      </c>
      <c r="C6" s="11" t="s">
        <v>50</v>
      </c>
      <c r="D6" s="11" t="s">
        <v>65</v>
      </c>
      <c r="E6" s="11" t="s">
        <v>52</v>
      </c>
      <c r="F6" s="11" t="s">
        <v>66</v>
      </c>
      <c r="G6" s="11" t="s">
        <v>67</v>
      </c>
      <c r="H6" s="13" t="s">
        <v>48</v>
      </c>
      <c r="I6" s="13"/>
    </row>
    <row r="7" customFormat="false" ht="60" hidden="false" customHeight="true" outlineLevel="0" collapsed="false">
      <c r="A7" s="11" t="s">
        <v>68</v>
      </c>
      <c r="B7" s="12" t="s">
        <v>24</v>
      </c>
      <c r="C7" s="11" t="s">
        <v>50</v>
      </c>
      <c r="D7" s="11" t="s">
        <v>69</v>
      </c>
      <c r="E7" s="11" t="s">
        <v>70</v>
      </c>
      <c r="F7" s="11" t="s">
        <v>71</v>
      </c>
      <c r="G7" s="11" t="s">
        <v>72</v>
      </c>
      <c r="H7" s="13" t="s">
        <v>48</v>
      </c>
      <c r="I7" s="13"/>
    </row>
    <row r="8" customFormat="false" ht="60" hidden="false" customHeight="true" outlineLevel="0" collapsed="false">
      <c r="A8" s="11" t="s">
        <v>73</v>
      </c>
      <c r="B8" s="12" t="s">
        <v>24</v>
      </c>
      <c r="C8" s="11" t="s">
        <v>43</v>
      </c>
      <c r="D8" s="11" t="s">
        <v>74</v>
      </c>
      <c r="E8" s="11" t="s">
        <v>75</v>
      </c>
      <c r="F8" s="11" t="s">
        <v>76</v>
      </c>
      <c r="G8" s="11" t="s">
        <v>77</v>
      </c>
      <c r="H8" s="13" t="s">
        <v>48</v>
      </c>
      <c r="I8" s="13"/>
    </row>
    <row r="9" customFormat="false" ht="60" hidden="false" customHeight="true" outlineLevel="0" collapsed="false">
      <c r="A9" s="11" t="s">
        <v>78</v>
      </c>
      <c r="B9" s="12" t="s">
        <v>24</v>
      </c>
      <c r="C9" s="11" t="s">
        <v>50</v>
      </c>
      <c r="D9" s="11" t="s">
        <v>79</v>
      </c>
      <c r="E9" s="11" t="s">
        <v>80</v>
      </c>
      <c r="F9" s="11" t="s">
        <v>81</v>
      </c>
      <c r="G9" s="11" t="s">
        <v>82</v>
      </c>
      <c r="H9" s="13" t="s">
        <v>48</v>
      </c>
      <c r="I9" s="13"/>
    </row>
    <row r="10" customFormat="false" ht="60" hidden="false" customHeight="true" outlineLevel="0" collapsed="false">
      <c r="A10" s="11" t="s">
        <v>83</v>
      </c>
      <c r="B10" s="12" t="s">
        <v>24</v>
      </c>
      <c r="C10" s="11" t="s">
        <v>50</v>
      </c>
      <c r="D10" s="11" t="s">
        <v>84</v>
      </c>
      <c r="E10" s="11" t="s">
        <v>85</v>
      </c>
      <c r="F10" s="11" t="s">
        <v>86</v>
      </c>
      <c r="G10" s="11" t="s">
        <v>87</v>
      </c>
      <c r="H10" s="13" t="s">
        <v>48</v>
      </c>
      <c r="I10" s="13"/>
    </row>
    <row r="11" customFormat="false" ht="60" hidden="false" customHeight="true" outlineLevel="0" collapsed="false">
      <c r="A11" s="11" t="s">
        <v>88</v>
      </c>
      <c r="B11" s="12" t="s">
        <v>24</v>
      </c>
      <c r="C11" s="11" t="s">
        <v>50</v>
      </c>
      <c r="D11" s="11" t="s">
        <v>89</v>
      </c>
      <c r="E11" s="11" t="s">
        <v>85</v>
      </c>
      <c r="F11" s="11" t="s">
        <v>90</v>
      </c>
      <c r="G11" s="11" t="s">
        <v>91</v>
      </c>
      <c r="H11" s="13" t="s">
        <v>48</v>
      </c>
      <c r="I11" s="13"/>
    </row>
    <row r="12" customFormat="false" ht="60" hidden="false" customHeight="true" outlineLevel="0" collapsed="false">
      <c r="A12" s="11" t="s">
        <v>92</v>
      </c>
      <c r="B12" s="12" t="s">
        <v>24</v>
      </c>
      <c r="C12" s="11" t="s">
        <v>50</v>
      </c>
      <c r="D12" s="11" t="s">
        <v>93</v>
      </c>
      <c r="E12" s="11" t="s">
        <v>94</v>
      </c>
      <c r="F12" s="11" t="s">
        <v>95</v>
      </c>
      <c r="G12" s="11" t="s">
        <v>96</v>
      </c>
      <c r="H12" s="13" t="s">
        <v>48</v>
      </c>
      <c r="I12" s="13"/>
    </row>
    <row r="13" customFormat="false" ht="60" hidden="false" customHeight="true" outlineLevel="0" collapsed="false">
      <c r="A13" s="11" t="s">
        <v>97</v>
      </c>
      <c r="B13" s="12" t="s">
        <v>25</v>
      </c>
      <c r="C13" s="11" t="s">
        <v>98</v>
      </c>
      <c r="D13" s="11" t="s">
        <v>99</v>
      </c>
      <c r="E13" s="11" t="s">
        <v>100</v>
      </c>
      <c r="F13" s="11" t="s">
        <v>101</v>
      </c>
      <c r="G13" s="11" t="s">
        <v>102</v>
      </c>
      <c r="H13" s="13" t="s">
        <v>48</v>
      </c>
      <c r="I13" s="13"/>
    </row>
    <row r="14" customFormat="false" ht="60" hidden="false" customHeight="true" outlineLevel="0" collapsed="false">
      <c r="A14" s="11" t="s">
        <v>103</v>
      </c>
      <c r="B14" s="12" t="s">
        <v>25</v>
      </c>
      <c r="C14" s="11" t="s">
        <v>98</v>
      </c>
      <c r="D14" s="11" t="s">
        <v>104</v>
      </c>
      <c r="E14" s="11" t="s">
        <v>105</v>
      </c>
      <c r="F14" s="11" t="s">
        <v>106</v>
      </c>
      <c r="G14" s="11" t="s">
        <v>107</v>
      </c>
      <c r="H14" s="13" t="s">
        <v>48</v>
      </c>
      <c r="I14" s="13"/>
    </row>
    <row r="15" customFormat="false" ht="60" hidden="false" customHeight="true" outlineLevel="0" collapsed="false">
      <c r="A15" s="11" t="s">
        <v>108</v>
      </c>
      <c r="B15" s="12" t="s">
        <v>25</v>
      </c>
      <c r="C15" s="11" t="s">
        <v>98</v>
      </c>
      <c r="D15" s="11" t="s">
        <v>109</v>
      </c>
      <c r="E15" s="11" t="s">
        <v>110</v>
      </c>
      <c r="F15" s="11" t="s">
        <v>111</v>
      </c>
      <c r="G15" s="11" t="s">
        <v>112</v>
      </c>
      <c r="H15" s="13" t="s">
        <v>48</v>
      </c>
      <c r="I15" s="13"/>
    </row>
    <row r="16" customFormat="false" ht="60" hidden="false" customHeight="true" outlineLevel="0" collapsed="false">
      <c r="A16" s="11" t="s">
        <v>113</v>
      </c>
      <c r="B16" s="12" t="s">
        <v>25</v>
      </c>
      <c r="C16" s="11" t="s">
        <v>98</v>
      </c>
      <c r="D16" s="11" t="s">
        <v>114</v>
      </c>
      <c r="E16" s="11" t="s">
        <v>115</v>
      </c>
      <c r="F16" s="11" t="s">
        <v>116</v>
      </c>
      <c r="G16" s="11" t="s">
        <v>117</v>
      </c>
      <c r="H16" s="13" t="s">
        <v>48</v>
      </c>
      <c r="I16" s="13"/>
    </row>
    <row r="17" customFormat="false" ht="60" hidden="false" customHeight="true" outlineLevel="0" collapsed="false">
      <c r="A17" s="11" t="s">
        <v>118</v>
      </c>
      <c r="B17" s="12" t="s">
        <v>25</v>
      </c>
      <c r="C17" s="11" t="s">
        <v>98</v>
      </c>
      <c r="D17" s="11" t="s">
        <v>119</v>
      </c>
      <c r="E17" s="11" t="s">
        <v>120</v>
      </c>
      <c r="F17" s="11" t="s">
        <v>121</v>
      </c>
      <c r="G17" s="11" t="s">
        <v>122</v>
      </c>
      <c r="H17" s="13" t="s">
        <v>48</v>
      </c>
      <c r="I17" s="13"/>
    </row>
    <row r="18" customFormat="false" ht="60" hidden="false" customHeight="true" outlineLevel="0" collapsed="false">
      <c r="A18" s="11" t="s">
        <v>123</v>
      </c>
      <c r="B18" s="12" t="s">
        <v>25</v>
      </c>
      <c r="C18" s="11" t="s">
        <v>98</v>
      </c>
      <c r="D18" s="11" t="s">
        <v>124</v>
      </c>
      <c r="E18" s="11" t="s">
        <v>125</v>
      </c>
      <c r="F18" s="11" t="s">
        <v>126</v>
      </c>
      <c r="G18" s="11" t="s">
        <v>127</v>
      </c>
      <c r="H18" s="13" t="s">
        <v>48</v>
      </c>
      <c r="I18" s="13"/>
    </row>
    <row r="19" customFormat="false" ht="60" hidden="false" customHeight="true" outlineLevel="0" collapsed="false">
      <c r="A19" s="11" t="s">
        <v>128</v>
      </c>
      <c r="B19" s="12" t="s">
        <v>26</v>
      </c>
      <c r="C19" s="11" t="s">
        <v>43</v>
      </c>
      <c r="D19" s="11" t="s">
        <v>129</v>
      </c>
      <c r="E19" s="11" t="s">
        <v>130</v>
      </c>
      <c r="F19" s="11" t="s">
        <v>131</v>
      </c>
      <c r="G19" s="11" t="s">
        <v>132</v>
      </c>
      <c r="H19" s="13" t="s">
        <v>48</v>
      </c>
      <c r="I19" s="13"/>
    </row>
    <row r="20" customFormat="false" ht="60" hidden="false" customHeight="true" outlineLevel="0" collapsed="false">
      <c r="A20" s="11" t="s">
        <v>133</v>
      </c>
      <c r="B20" s="12" t="s">
        <v>26</v>
      </c>
      <c r="C20" s="11" t="s">
        <v>43</v>
      </c>
      <c r="D20" s="11" t="s">
        <v>134</v>
      </c>
      <c r="E20" s="11" t="s">
        <v>135</v>
      </c>
      <c r="F20" s="11" t="s">
        <v>136</v>
      </c>
      <c r="G20" s="11" t="s">
        <v>137</v>
      </c>
      <c r="H20" s="13" t="s">
        <v>48</v>
      </c>
      <c r="I20" s="13"/>
    </row>
    <row r="21" customFormat="false" ht="60" hidden="false" customHeight="true" outlineLevel="0" collapsed="false">
      <c r="A21" s="11" t="s">
        <v>138</v>
      </c>
      <c r="B21" s="12" t="s">
        <v>26</v>
      </c>
      <c r="C21" s="11" t="s">
        <v>43</v>
      </c>
      <c r="D21" s="11" t="s">
        <v>139</v>
      </c>
      <c r="E21" s="11" t="s">
        <v>140</v>
      </c>
      <c r="F21" s="11" t="s">
        <v>141</v>
      </c>
      <c r="G21" s="11" t="s">
        <v>142</v>
      </c>
      <c r="H21" s="13" t="s">
        <v>48</v>
      </c>
      <c r="I21" s="13"/>
    </row>
    <row r="22" customFormat="false" ht="60" hidden="false" customHeight="true" outlineLevel="0" collapsed="false">
      <c r="A22" s="11" t="s">
        <v>143</v>
      </c>
      <c r="B22" s="12" t="s">
        <v>26</v>
      </c>
      <c r="C22" s="11" t="s">
        <v>43</v>
      </c>
      <c r="D22" s="11" t="s">
        <v>144</v>
      </c>
      <c r="E22" s="11" t="s">
        <v>145</v>
      </c>
      <c r="F22" s="11" t="s">
        <v>146</v>
      </c>
      <c r="G22" s="11" t="s">
        <v>147</v>
      </c>
      <c r="H22" s="13" t="s">
        <v>48</v>
      </c>
      <c r="I22" s="13"/>
    </row>
    <row r="23" customFormat="false" ht="60" hidden="false" customHeight="true" outlineLevel="0" collapsed="false">
      <c r="A23" s="11" t="s">
        <v>148</v>
      </c>
      <c r="B23" s="12" t="s">
        <v>26</v>
      </c>
      <c r="C23" s="11" t="s">
        <v>43</v>
      </c>
      <c r="D23" s="11" t="s">
        <v>149</v>
      </c>
      <c r="E23" s="11" t="s">
        <v>150</v>
      </c>
      <c r="F23" s="11" t="s">
        <v>151</v>
      </c>
      <c r="G23" s="11" t="s">
        <v>152</v>
      </c>
      <c r="H23" s="13" t="s">
        <v>48</v>
      </c>
      <c r="I23" s="13"/>
    </row>
    <row r="24" customFormat="false" ht="60" hidden="false" customHeight="true" outlineLevel="0" collapsed="false">
      <c r="A24" s="11" t="s">
        <v>153</v>
      </c>
      <c r="B24" s="12" t="s">
        <v>27</v>
      </c>
      <c r="C24" s="11" t="s">
        <v>43</v>
      </c>
      <c r="D24" s="11" t="s">
        <v>154</v>
      </c>
      <c r="E24" s="11" t="s">
        <v>155</v>
      </c>
      <c r="F24" s="11" t="s">
        <v>156</v>
      </c>
      <c r="G24" s="11" t="s">
        <v>157</v>
      </c>
      <c r="H24" s="13" t="s">
        <v>48</v>
      </c>
      <c r="I24" s="13"/>
    </row>
    <row r="25" customFormat="false" ht="60" hidden="false" customHeight="true" outlineLevel="0" collapsed="false">
      <c r="A25" s="11" t="s">
        <v>158</v>
      </c>
      <c r="B25" s="12" t="s">
        <v>27</v>
      </c>
      <c r="C25" s="11" t="s">
        <v>43</v>
      </c>
      <c r="D25" s="11" t="s">
        <v>159</v>
      </c>
      <c r="E25" s="11" t="s">
        <v>160</v>
      </c>
      <c r="F25" s="11" t="s">
        <v>161</v>
      </c>
      <c r="G25" s="11" t="s">
        <v>162</v>
      </c>
      <c r="H25" s="13" t="s">
        <v>48</v>
      </c>
      <c r="I25" s="13"/>
    </row>
    <row r="26" customFormat="false" ht="60" hidden="false" customHeight="true" outlineLevel="0" collapsed="false">
      <c r="A26" s="11" t="s">
        <v>163</v>
      </c>
      <c r="B26" s="12" t="s">
        <v>27</v>
      </c>
      <c r="C26" s="11" t="s">
        <v>43</v>
      </c>
      <c r="D26" s="11" t="s">
        <v>164</v>
      </c>
      <c r="E26" s="11" t="s">
        <v>165</v>
      </c>
      <c r="F26" s="11" t="s">
        <v>166</v>
      </c>
      <c r="G26" s="11" t="s">
        <v>167</v>
      </c>
      <c r="H26" s="13" t="s">
        <v>48</v>
      </c>
      <c r="I26" s="13"/>
    </row>
    <row r="27" customFormat="false" ht="60" hidden="false" customHeight="true" outlineLevel="0" collapsed="false">
      <c r="A27" s="11" t="s">
        <v>168</v>
      </c>
      <c r="B27" s="12" t="s">
        <v>27</v>
      </c>
      <c r="C27" s="11" t="s">
        <v>43</v>
      </c>
      <c r="D27" s="11" t="s">
        <v>169</v>
      </c>
      <c r="E27" s="11" t="s">
        <v>170</v>
      </c>
      <c r="F27" s="11" t="s">
        <v>171</v>
      </c>
      <c r="G27" s="11" t="s">
        <v>172</v>
      </c>
      <c r="H27" s="13" t="s">
        <v>48</v>
      </c>
      <c r="I27" s="13"/>
    </row>
    <row r="28" customFormat="false" ht="60" hidden="false" customHeight="true" outlineLevel="0" collapsed="false">
      <c r="A28" s="11" t="s">
        <v>173</v>
      </c>
      <c r="B28" s="12" t="s">
        <v>27</v>
      </c>
      <c r="C28" s="11" t="s">
        <v>43</v>
      </c>
      <c r="D28" s="11" t="s">
        <v>174</v>
      </c>
      <c r="E28" s="11" t="s">
        <v>170</v>
      </c>
      <c r="F28" s="11" t="s">
        <v>175</v>
      </c>
      <c r="G28" s="11" t="s">
        <v>176</v>
      </c>
      <c r="H28" s="13" t="s">
        <v>48</v>
      </c>
      <c r="I28" s="13"/>
    </row>
    <row r="29" customFormat="false" ht="60" hidden="false" customHeight="true" outlineLevel="0" collapsed="false">
      <c r="A29" s="11" t="s">
        <v>177</v>
      </c>
      <c r="B29" s="12" t="s">
        <v>27</v>
      </c>
      <c r="C29" s="11" t="s">
        <v>43</v>
      </c>
      <c r="D29" s="11" t="s">
        <v>178</v>
      </c>
      <c r="E29" s="11" t="s">
        <v>179</v>
      </c>
      <c r="F29" s="11" t="s">
        <v>180</v>
      </c>
      <c r="G29" s="11" t="s">
        <v>181</v>
      </c>
      <c r="H29" s="13" t="s">
        <v>48</v>
      </c>
      <c r="I29" s="13"/>
    </row>
    <row r="30" customFormat="false" ht="60" hidden="false" customHeight="true" outlineLevel="0" collapsed="false">
      <c r="A30" s="11" t="s">
        <v>182</v>
      </c>
      <c r="B30" s="12" t="s">
        <v>28</v>
      </c>
      <c r="C30" s="11" t="s">
        <v>43</v>
      </c>
      <c r="D30" s="11" t="s">
        <v>183</v>
      </c>
      <c r="E30" s="11" t="s">
        <v>184</v>
      </c>
      <c r="F30" s="11" t="s">
        <v>185</v>
      </c>
      <c r="G30" s="11" t="s">
        <v>186</v>
      </c>
      <c r="H30" s="13" t="s">
        <v>48</v>
      </c>
      <c r="I30" s="13"/>
    </row>
    <row r="31" customFormat="false" ht="60" hidden="false" customHeight="true" outlineLevel="0" collapsed="false">
      <c r="A31" s="11" t="s">
        <v>187</v>
      </c>
      <c r="B31" s="12" t="s">
        <v>28</v>
      </c>
      <c r="C31" s="11" t="s">
        <v>43</v>
      </c>
      <c r="D31" s="11" t="s">
        <v>188</v>
      </c>
      <c r="E31" s="11" t="s">
        <v>184</v>
      </c>
      <c r="F31" s="11" t="s">
        <v>189</v>
      </c>
      <c r="G31" s="11" t="s">
        <v>190</v>
      </c>
      <c r="H31" s="13" t="s">
        <v>48</v>
      </c>
      <c r="I31" s="13"/>
    </row>
    <row r="32" customFormat="false" ht="60" hidden="false" customHeight="true" outlineLevel="0" collapsed="false">
      <c r="A32" s="11" t="s">
        <v>191</v>
      </c>
      <c r="B32" s="12" t="s">
        <v>28</v>
      </c>
      <c r="C32" s="11" t="s">
        <v>43</v>
      </c>
      <c r="D32" s="11" t="s">
        <v>192</v>
      </c>
      <c r="E32" s="11" t="s">
        <v>193</v>
      </c>
      <c r="F32" s="11" t="s">
        <v>194</v>
      </c>
      <c r="G32" s="11" t="s">
        <v>195</v>
      </c>
      <c r="H32" s="13" t="s">
        <v>48</v>
      </c>
      <c r="I32" s="13"/>
    </row>
    <row r="33" customFormat="false" ht="60" hidden="false" customHeight="true" outlineLevel="0" collapsed="false">
      <c r="A33" s="11" t="s">
        <v>196</v>
      </c>
      <c r="B33" s="12" t="s">
        <v>28</v>
      </c>
      <c r="C33" s="11" t="s">
        <v>43</v>
      </c>
      <c r="D33" s="11" t="s">
        <v>197</v>
      </c>
      <c r="E33" s="11" t="s">
        <v>198</v>
      </c>
      <c r="F33" s="11" t="s">
        <v>199</v>
      </c>
      <c r="G33" s="11" t="s">
        <v>200</v>
      </c>
      <c r="H33" s="13" t="s">
        <v>48</v>
      </c>
      <c r="I33" s="13"/>
    </row>
    <row r="34" customFormat="false" ht="60" hidden="false" customHeight="true" outlineLevel="0" collapsed="false">
      <c r="A34" s="11" t="s">
        <v>201</v>
      </c>
      <c r="B34" s="12" t="s">
        <v>28</v>
      </c>
      <c r="C34" s="11" t="s">
        <v>43</v>
      </c>
      <c r="D34" s="11" t="s">
        <v>202</v>
      </c>
      <c r="E34" s="11" t="s">
        <v>203</v>
      </c>
      <c r="F34" s="11" t="s">
        <v>204</v>
      </c>
      <c r="G34" s="11" t="s">
        <v>205</v>
      </c>
      <c r="H34" s="13" t="s">
        <v>48</v>
      </c>
      <c r="I34" s="13"/>
    </row>
    <row r="35" customFormat="false" ht="60" hidden="false" customHeight="true" outlineLevel="0" collapsed="false">
      <c r="A35" s="11" t="s">
        <v>206</v>
      </c>
      <c r="B35" s="12" t="s">
        <v>28</v>
      </c>
      <c r="C35" s="11" t="s">
        <v>43</v>
      </c>
      <c r="D35" s="11" t="s">
        <v>207</v>
      </c>
      <c r="E35" s="11" t="s">
        <v>208</v>
      </c>
      <c r="F35" s="11" t="s">
        <v>209</v>
      </c>
      <c r="G35" s="11" t="s">
        <v>210</v>
      </c>
      <c r="H35" s="13" t="s">
        <v>48</v>
      </c>
      <c r="I35" s="13"/>
    </row>
    <row r="36" customFormat="false" ht="60" hidden="false" customHeight="true" outlineLevel="0" collapsed="false">
      <c r="A36" s="11" t="s">
        <v>211</v>
      </c>
      <c r="B36" s="12" t="s">
        <v>29</v>
      </c>
      <c r="C36" s="11" t="s">
        <v>43</v>
      </c>
      <c r="D36" s="11" t="s">
        <v>212</v>
      </c>
      <c r="E36" s="11" t="s">
        <v>213</v>
      </c>
      <c r="F36" s="11" t="s">
        <v>214</v>
      </c>
      <c r="G36" s="11" t="s">
        <v>215</v>
      </c>
      <c r="H36" s="13" t="s">
        <v>48</v>
      </c>
      <c r="I36" s="13"/>
    </row>
    <row r="37" customFormat="false" ht="60" hidden="false" customHeight="true" outlineLevel="0" collapsed="false">
      <c r="A37" s="11" t="s">
        <v>216</v>
      </c>
      <c r="B37" s="12" t="s">
        <v>29</v>
      </c>
      <c r="C37" s="11" t="s">
        <v>43</v>
      </c>
      <c r="D37" s="11" t="s">
        <v>217</v>
      </c>
      <c r="E37" s="11" t="s">
        <v>218</v>
      </c>
      <c r="F37" s="11" t="s">
        <v>219</v>
      </c>
      <c r="G37" s="11" t="s">
        <v>220</v>
      </c>
      <c r="H37" s="13" t="s">
        <v>48</v>
      </c>
      <c r="I37" s="13"/>
    </row>
    <row r="38" customFormat="false" ht="60" hidden="false" customHeight="true" outlineLevel="0" collapsed="false">
      <c r="A38" s="11" t="s">
        <v>221</v>
      </c>
      <c r="B38" s="12" t="s">
        <v>29</v>
      </c>
      <c r="C38" s="11" t="s">
        <v>43</v>
      </c>
      <c r="D38" s="11" t="s">
        <v>222</v>
      </c>
      <c r="E38" s="11" t="s">
        <v>223</v>
      </c>
      <c r="F38" s="11" t="s">
        <v>224</v>
      </c>
      <c r="G38" s="11" t="s">
        <v>225</v>
      </c>
      <c r="H38" s="13" t="s">
        <v>48</v>
      </c>
      <c r="I38" s="13"/>
    </row>
    <row r="39" customFormat="false" ht="60" hidden="false" customHeight="true" outlineLevel="0" collapsed="false">
      <c r="A39" s="11" t="s">
        <v>226</v>
      </c>
      <c r="B39" s="12" t="s">
        <v>29</v>
      </c>
      <c r="C39" s="11" t="s">
        <v>43</v>
      </c>
      <c r="D39" s="11" t="s">
        <v>227</v>
      </c>
      <c r="E39" s="11" t="s">
        <v>170</v>
      </c>
      <c r="F39" s="11" t="s">
        <v>228</v>
      </c>
      <c r="G39" s="11" t="s">
        <v>229</v>
      </c>
      <c r="H39" s="13" t="s">
        <v>48</v>
      </c>
      <c r="I39" s="13"/>
    </row>
    <row r="40" customFormat="false" ht="60" hidden="false" customHeight="true" outlineLevel="0" collapsed="false">
      <c r="A40" s="11" t="s">
        <v>230</v>
      </c>
      <c r="B40" s="12" t="s">
        <v>29</v>
      </c>
      <c r="C40" s="11" t="s">
        <v>98</v>
      </c>
      <c r="D40" s="11" t="s">
        <v>231</v>
      </c>
      <c r="E40" s="11" t="s">
        <v>232</v>
      </c>
      <c r="F40" s="11" t="s">
        <v>233</v>
      </c>
      <c r="G40" s="11" t="s">
        <v>234</v>
      </c>
      <c r="H40" s="13" t="s">
        <v>48</v>
      </c>
      <c r="I40" s="13"/>
    </row>
    <row r="41" customFormat="false" ht="60" hidden="false" customHeight="true" outlineLevel="0" collapsed="false">
      <c r="A41" s="11" t="s">
        <v>235</v>
      </c>
      <c r="B41" s="12" t="s">
        <v>30</v>
      </c>
      <c r="C41" s="11" t="s">
        <v>43</v>
      </c>
      <c r="D41" s="11" t="s">
        <v>236</v>
      </c>
      <c r="E41" s="11" t="s">
        <v>237</v>
      </c>
      <c r="F41" s="11" t="s">
        <v>238</v>
      </c>
      <c r="G41" s="11" t="s">
        <v>239</v>
      </c>
      <c r="H41" s="13" t="s">
        <v>48</v>
      </c>
      <c r="I41" s="13"/>
    </row>
    <row r="42" customFormat="false" ht="60" hidden="false" customHeight="true" outlineLevel="0" collapsed="false">
      <c r="A42" s="11" t="s">
        <v>240</v>
      </c>
      <c r="B42" s="12" t="s">
        <v>30</v>
      </c>
      <c r="C42" s="11" t="s">
        <v>43</v>
      </c>
      <c r="D42" s="11" t="s">
        <v>241</v>
      </c>
      <c r="E42" s="11" t="s">
        <v>242</v>
      </c>
      <c r="F42" s="11" t="s">
        <v>243</v>
      </c>
      <c r="G42" s="11" t="s">
        <v>244</v>
      </c>
      <c r="H42" s="13" t="s">
        <v>48</v>
      </c>
      <c r="I42" s="13"/>
    </row>
    <row r="43" customFormat="false" ht="60" hidden="false" customHeight="true" outlineLevel="0" collapsed="false">
      <c r="A43" s="11" t="s">
        <v>245</v>
      </c>
      <c r="B43" s="12" t="s">
        <v>30</v>
      </c>
      <c r="C43" s="11" t="s">
        <v>43</v>
      </c>
      <c r="D43" s="11" t="s">
        <v>246</v>
      </c>
      <c r="E43" s="11" t="s">
        <v>247</v>
      </c>
      <c r="F43" s="11" t="s">
        <v>248</v>
      </c>
      <c r="G43" s="11" t="s">
        <v>249</v>
      </c>
      <c r="H43" s="13" t="s">
        <v>48</v>
      </c>
      <c r="I43" s="13"/>
    </row>
    <row r="44" customFormat="false" ht="60" hidden="false" customHeight="true" outlineLevel="0" collapsed="false">
      <c r="A44" s="11" t="s">
        <v>250</v>
      </c>
      <c r="B44" s="12" t="s">
        <v>31</v>
      </c>
      <c r="C44" s="11" t="s">
        <v>98</v>
      </c>
      <c r="D44" s="11" t="s">
        <v>251</v>
      </c>
      <c r="E44" s="11" t="s">
        <v>252</v>
      </c>
      <c r="F44" s="11" t="s">
        <v>253</v>
      </c>
      <c r="G44" s="11" t="s">
        <v>254</v>
      </c>
      <c r="H44" s="13" t="s">
        <v>48</v>
      </c>
      <c r="I44" s="13"/>
    </row>
    <row r="45" customFormat="false" ht="60" hidden="false" customHeight="true" outlineLevel="0" collapsed="false">
      <c r="A45" s="11" t="s">
        <v>255</v>
      </c>
      <c r="B45" s="12" t="s">
        <v>31</v>
      </c>
      <c r="C45" s="11" t="s">
        <v>98</v>
      </c>
      <c r="D45" s="11" t="s">
        <v>256</v>
      </c>
      <c r="E45" s="11" t="s">
        <v>252</v>
      </c>
      <c r="F45" s="11" t="s">
        <v>257</v>
      </c>
      <c r="G45" s="11" t="s">
        <v>258</v>
      </c>
      <c r="H45" s="13" t="s">
        <v>48</v>
      </c>
      <c r="I45" s="13"/>
    </row>
    <row r="46" customFormat="false" ht="60" hidden="false" customHeight="true" outlineLevel="0" collapsed="false">
      <c r="A46" s="11" t="s">
        <v>259</v>
      </c>
      <c r="B46" s="12" t="s">
        <v>31</v>
      </c>
      <c r="C46" s="11" t="s">
        <v>98</v>
      </c>
      <c r="D46" s="11" t="s">
        <v>260</v>
      </c>
      <c r="E46" s="11" t="s">
        <v>261</v>
      </c>
      <c r="F46" s="11" t="s">
        <v>262</v>
      </c>
      <c r="G46" s="11" t="s">
        <v>263</v>
      </c>
      <c r="H46" s="13" t="s">
        <v>48</v>
      </c>
      <c r="I46" s="13"/>
    </row>
  </sheetData>
  <dataValidations count="1">
    <dataValidation allowBlank="true" error="Choose Pass, Fail, Blocked, or Not Tested" errorStyle="stop" errorTitle="Invalid entry" operator="between" showDropDown="false" showErrorMessage="false" showInputMessage="false" sqref="H2:H46" type="list">
      <formula1>"Pass,Fail,Blocked,Not Tested"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2026-09-07T17:23:45Z</dcterms:created>
  <dc:creator>openpyxl</dc:creator>
  <dc:description/>
  <dc:language>en-US</dc:language>
  <cp:lastModifiedBy/>
  <dcterms:modified xsi:type="dcterms:W3CDTF">2026-09-07T17:23:45Z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